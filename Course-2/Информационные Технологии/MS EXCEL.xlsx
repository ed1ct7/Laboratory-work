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MAIN FOLDER\Laboratory\Информационные Технологии\"/>
    </mc:Choice>
  </mc:AlternateContent>
  <xr:revisionPtr revIDLastSave="0" documentId="13_ncr:1_{99DA39C5-9074-4F72-8EED-49FCC733E617}" xr6:coauthVersionLast="47" xr6:coauthVersionMax="47" xr10:uidLastSave="{00000000-0000-0000-0000-000000000000}"/>
  <bookViews>
    <workbookView xWindow="-110" yWindow="-110" windowWidth="25820" windowHeight="15500" firstSheet="10" activeTab="18" xr2:uid="{00000000-000D-0000-FFFF-FFFF00000000}"/>
  </bookViews>
  <sheets>
    <sheet name="Лист1" sheetId="1" r:id="rId1"/>
    <sheet name="Лист2" sheetId="2" r:id="rId2"/>
    <sheet name="Лист3" sheetId="3" r:id="rId3"/>
    <sheet name="Лаб3 1" sheetId="4" r:id="rId4"/>
    <sheet name="Лаб3 2" sheetId="5" r:id="rId5"/>
    <sheet name="Лаб3 3" sheetId="6" r:id="rId6"/>
    <sheet name="Лист5" sheetId="7" r:id="rId7"/>
    <sheet name="Лаб5 2" sheetId="8" r:id="rId8"/>
    <sheet name="Лаб5 3" sheetId="9" r:id="rId9"/>
    <sheet name="Лаб 5 4" sheetId="10" r:id="rId10"/>
    <sheet name="Лаб 5 5" sheetId="11" r:id="rId11"/>
    <sheet name="Лаб 5 Main" sheetId="12" r:id="rId12"/>
    <sheet name="Продажа" sheetId="13" r:id="rId13"/>
    <sheet name="Цена" sheetId="14" r:id="rId14"/>
    <sheet name="ГПР" sheetId="15" r:id="rId15"/>
    <sheet name="Прайс 2019 г." sheetId="16" r:id="rId16"/>
    <sheet name="Прайс 2020 г." sheetId="17" r:id="rId17"/>
    <sheet name="Оценки" sheetId="18" r:id="rId18"/>
    <sheet name="Справочники" sheetId="19" r:id="rId19"/>
    <sheet name="Расчёт" sheetId="20" r:id="rId20"/>
    <sheet name="Упражнение 1" sheetId="21" r:id="rId21"/>
  </sheets>
  <definedNames>
    <definedName name="_xlnm._FilterDatabase" localSheetId="11" hidden="1">'Лаб 5 Main'!$A$1:$F$53</definedName>
    <definedName name="_xlnm._FilterDatabase" localSheetId="3" hidden="1">'Лаб3 1'!$A$1:$E$11</definedName>
    <definedName name="_xlnm._FilterDatabase" localSheetId="4" hidden="1">'Лаб3 2'!$N$1:$R$10</definedName>
    <definedName name="_xlnm._FilterDatabase" localSheetId="5" hidden="1">'Лаб3 3'!$A$25:$G$38</definedName>
    <definedName name="Дней_макс">Справочники!$L$7</definedName>
    <definedName name="Дней_макс_скидка">Справочники!$L$6</definedName>
    <definedName name="Дней_мин">Справочники!$L$4</definedName>
    <definedName name="Дней_мин_скидка">Справочники!$L$3</definedName>
    <definedName name="Дней_не_менее">Справочники!$H$4</definedName>
    <definedName name="_xlnm.Extract" localSheetId="4">'Лаб3 2'!$N$16:$R$16</definedName>
    <definedName name="_xlnm.Extract" localSheetId="5">'Лаб3 3'!$A$17:$G$17</definedName>
    <definedName name="Комнаты">Справочники!$A$2:$B$16</definedName>
    <definedName name="_xlnm.Criteria" localSheetId="4">'Лаб3 2'!$T$4:$T$6</definedName>
    <definedName name="_xlnm.Criteria" localSheetId="5">'Лаб3 3'!$I$2:$J$3</definedName>
    <definedName name="Курс_доллара">Справочники!$H$1</definedName>
    <definedName name="Номера_комнат">Справочники!$A$2:$A$16</definedName>
    <definedName name="Скидка">Справочники!$H$3</definedName>
    <definedName name="Цены">Справочники!$D$2:$E$4</definedName>
  </definedNames>
  <calcPr calcId="191029"/>
  <pivotCaches>
    <pivotCache cacheId="0" r:id="rId22"/>
    <pivotCache cacheId="1" r:id="rId23"/>
    <pivotCache cacheId="2" r:id="rId24"/>
    <pivotCache cacheId="3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1" l="1"/>
  <c r="H5" i="21"/>
  <c r="H6" i="21"/>
  <c r="H7" i="21"/>
  <c r="H8" i="21"/>
  <c r="H9" i="21"/>
  <c r="H3" i="21"/>
  <c r="H4" i="20"/>
  <c r="D9" i="21"/>
  <c r="F9" i="21" s="1"/>
  <c r="G9" i="21" s="1"/>
  <c r="D8" i="21"/>
  <c r="F8" i="21" s="1"/>
  <c r="G8" i="21" s="1"/>
  <c r="D7" i="21"/>
  <c r="F7" i="21" s="1"/>
  <c r="G7" i="21" s="1"/>
  <c r="D6" i="21"/>
  <c r="F6" i="21" s="1"/>
  <c r="G6" i="21" s="1"/>
  <c r="D5" i="21"/>
  <c r="F5" i="21" s="1"/>
  <c r="G5" i="21" s="1"/>
  <c r="D4" i="21"/>
  <c r="F4" i="21" s="1"/>
  <c r="G4" i="21" s="1"/>
  <c r="D3" i="21"/>
  <c r="F3" i="21" s="1"/>
  <c r="G3" i="21" s="1"/>
  <c r="G4" i="20"/>
  <c r="D4" i="20"/>
  <c r="D5" i="20"/>
  <c r="D6" i="20"/>
  <c r="F6" i="20" s="1"/>
  <c r="G6" i="20" s="1"/>
  <c r="H6" i="20" s="1"/>
  <c r="D7" i="20"/>
  <c r="F7" i="20" s="1"/>
  <c r="G7" i="20" s="1"/>
  <c r="H7" i="20" s="1"/>
  <c r="D8" i="20"/>
  <c r="F8" i="20" s="1"/>
  <c r="G8" i="20" s="1"/>
  <c r="H8" i="20" s="1"/>
  <c r="D9" i="20"/>
  <c r="F9" i="20" s="1"/>
  <c r="G9" i="20" s="1"/>
  <c r="H9" i="20" s="1"/>
  <c r="D3" i="20"/>
  <c r="F3" i="20" s="1"/>
  <c r="G3" i="20" s="1"/>
  <c r="H3" i="20" s="1"/>
  <c r="F4" i="20"/>
  <c r="F5" i="20"/>
  <c r="G5" i="20" s="1"/>
  <c r="H5" i="20" s="1"/>
  <c r="B6" i="18"/>
  <c r="D7" i="16"/>
  <c r="D8" i="16"/>
  <c r="D9" i="16"/>
  <c r="D4" i="16"/>
  <c r="D5" i="16"/>
  <c r="D6" i="16"/>
  <c r="D3" i="16"/>
  <c r="C26" i="15" l="1"/>
  <c r="L26" i="15"/>
  <c r="M26" i="15"/>
  <c r="N26" i="15"/>
  <c r="O26" i="15"/>
  <c r="B26" i="15"/>
  <c r="P26" i="15" s="1"/>
  <c r="C25" i="15"/>
  <c r="D25" i="15"/>
  <c r="D26" i="15" s="1"/>
  <c r="E25" i="15"/>
  <c r="E26" i="15" s="1"/>
  <c r="F25" i="15"/>
  <c r="F26" i="15" s="1"/>
  <c r="G25" i="15"/>
  <c r="G26" i="15" s="1"/>
  <c r="H25" i="15"/>
  <c r="H26" i="15" s="1"/>
  <c r="I25" i="15"/>
  <c r="I26" i="15" s="1"/>
  <c r="J25" i="15"/>
  <c r="J26" i="15" s="1"/>
  <c r="K25" i="15"/>
  <c r="K26" i="15" s="1"/>
  <c r="L25" i="15"/>
  <c r="M25" i="15"/>
  <c r="N25" i="15"/>
  <c r="O25" i="15"/>
  <c r="B25" i="15"/>
  <c r="C26" i="13"/>
  <c r="D26" i="13" s="1"/>
  <c r="C27" i="13"/>
  <c r="C4" i="13"/>
  <c r="D4" i="13" s="1"/>
  <c r="C5" i="13"/>
  <c r="C6" i="13"/>
  <c r="C7" i="13"/>
  <c r="C8" i="13"/>
  <c r="C9" i="13"/>
  <c r="C10" i="13"/>
  <c r="C11" i="13"/>
  <c r="C12" i="13"/>
  <c r="D12" i="13" s="1"/>
  <c r="C13" i="13"/>
  <c r="C14" i="13"/>
  <c r="C15" i="13"/>
  <c r="C16" i="13"/>
  <c r="D16" i="13" s="1"/>
  <c r="C17" i="13"/>
  <c r="D17" i="13" s="1"/>
  <c r="C18" i="13"/>
  <c r="D18" i="13" s="1"/>
  <c r="C19" i="13"/>
  <c r="D19" i="13" s="1"/>
  <c r="C20" i="13"/>
  <c r="D20" i="13" s="1"/>
  <c r="C21" i="13"/>
  <c r="D21" i="13" s="1"/>
  <c r="C22" i="13"/>
  <c r="D22" i="13" s="1"/>
  <c r="C23" i="13"/>
  <c r="D23" i="13" s="1"/>
  <c r="C24" i="13"/>
  <c r="D24" i="13" s="1"/>
  <c r="C25" i="13"/>
  <c r="D25" i="13" s="1"/>
  <c r="C3" i="13"/>
  <c r="D3" i="13" s="1"/>
  <c r="D5" i="13"/>
  <c r="D6" i="13"/>
  <c r="D27" i="13"/>
  <c r="D7" i="13"/>
  <c r="D8" i="13"/>
  <c r="D9" i="13"/>
  <c r="D10" i="13"/>
  <c r="D11" i="13"/>
  <c r="D13" i="13"/>
  <c r="D14" i="13"/>
  <c r="D15" i="13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D28" i="13" l="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2" i="7"/>
  <c r="G16" i="5"/>
  <c r="I3" i="6"/>
  <c r="G40" i="5"/>
  <c r="G34" i="5"/>
  <c r="G28" i="5"/>
  <c r="G22" i="5"/>
  <c r="J17" i="2"/>
  <c r="I17" i="2"/>
  <c r="H17" i="2"/>
  <c r="G17" i="2"/>
  <c r="F17" i="2"/>
  <c r="E17" i="2"/>
  <c r="D17" i="2"/>
  <c r="C17" i="2"/>
  <c r="K16" i="2"/>
  <c r="J16" i="2"/>
  <c r="I16" i="2"/>
  <c r="H16" i="2"/>
  <c r="G16" i="2"/>
  <c r="F16" i="2"/>
  <c r="E16" i="2"/>
  <c r="D16" i="2"/>
  <c r="C16" i="2"/>
  <c r="K15" i="2"/>
  <c r="J15" i="2"/>
  <c r="I15" i="2"/>
  <c r="H15" i="2"/>
  <c r="G15" i="2"/>
  <c r="F15" i="2"/>
  <c r="E15" i="2"/>
  <c r="D15" i="2"/>
  <c r="C15" i="2"/>
  <c r="K14" i="2"/>
  <c r="J14" i="2"/>
  <c r="I14" i="2"/>
  <c r="H14" i="2"/>
  <c r="G14" i="2"/>
  <c r="F14" i="2"/>
  <c r="E14" i="2"/>
  <c r="D14" i="2"/>
  <c r="C14" i="2"/>
  <c r="A8" i="1"/>
</calcChain>
</file>

<file path=xl/sharedStrings.xml><?xml version="1.0" encoding="utf-8"?>
<sst xmlns="http://schemas.openxmlformats.org/spreadsheetml/2006/main" count="952" uniqueCount="314">
  <si>
    <t>Исходные данные</t>
  </si>
  <si>
    <t>Вычисление формулы</t>
  </si>
  <si>
    <t xml:space="preserve">a = </t>
  </si>
  <si>
    <t>b =</t>
  </si>
  <si>
    <t xml:space="preserve">x = </t>
  </si>
  <si>
    <t>d =</t>
  </si>
  <si>
    <t xml:space="preserve">k = </t>
  </si>
  <si>
    <t>№</t>
  </si>
  <si>
    <t>Фамилия И.О.</t>
  </si>
  <si>
    <t>Оценки</t>
  </si>
  <si>
    <t>Математика</t>
  </si>
  <si>
    <t>Информатика</t>
  </si>
  <si>
    <t>Физика</t>
  </si>
  <si>
    <t>I</t>
  </si>
  <si>
    <t>II</t>
  </si>
  <si>
    <t>год</t>
  </si>
  <si>
    <t>Садеков Д.Р.</t>
  </si>
  <si>
    <t>Езерский И.К</t>
  </si>
  <si>
    <t>Петренко А.А.</t>
  </si>
  <si>
    <t>Сусликов Д.Б.</t>
  </si>
  <si>
    <t>Аргинов Т.Т.</t>
  </si>
  <si>
    <t>Фугасов А.Э.</t>
  </si>
  <si>
    <t>Итого "5"</t>
  </si>
  <si>
    <t>Итого "2"</t>
  </si>
  <si>
    <t>Итого "3"</t>
  </si>
  <si>
    <t>Итого "4"</t>
  </si>
  <si>
    <t>Юнитович Е.А.</t>
  </si>
  <si>
    <t>Параходов В.Е.</t>
  </si>
  <si>
    <t>Батуев З.В.</t>
  </si>
  <si>
    <t>Смирнов. Н.А.</t>
  </si>
  <si>
    <t>БИРЖА ТРУДА</t>
  </si>
  <si>
    <t>Контингент</t>
  </si>
  <si>
    <t>2007 год</t>
  </si>
  <si>
    <t>2008 год</t>
  </si>
  <si>
    <t>2009 год</t>
  </si>
  <si>
    <t>2010 год</t>
  </si>
  <si>
    <t>2011 год</t>
  </si>
  <si>
    <t>Учащиеся</t>
  </si>
  <si>
    <t>Студенты</t>
  </si>
  <si>
    <t>Высшее образование</t>
  </si>
  <si>
    <t>Среднее- профессиональное образование</t>
  </si>
  <si>
    <t>Рабочие</t>
  </si>
  <si>
    <t>Другие</t>
  </si>
  <si>
    <t>Название фирмы</t>
  </si>
  <si>
    <t>Специализация</t>
  </si>
  <si>
    <t>Дата счёта</t>
  </si>
  <si>
    <t>Сумма в счёте</t>
  </si>
  <si>
    <t>Цветы</t>
  </si>
  <si>
    <t>Строительсво</t>
  </si>
  <si>
    <t>ОАО "Райн Гослинг"</t>
  </si>
  <si>
    <t>ООО "Удивление"</t>
  </si>
  <si>
    <t>ТОО "ЭТО"</t>
  </si>
  <si>
    <t>ЗАО "ПАО"</t>
  </si>
  <si>
    <t>ЗАО "СОСАГЕ"</t>
  </si>
  <si>
    <t>ООО "кЕтчунез"</t>
  </si>
  <si>
    <t>ООО "GOSLING"</t>
  </si>
  <si>
    <t>ТОО "Cё"</t>
  </si>
  <si>
    <t>ЗАО "Зигрит"</t>
  </si>
  <si>
    <t>ЗАО "Культурная революция"</t>
  </si>
  <si>
    <t>Табачные изделия</t>
  </si>
  <si>
    <t>Автомобили</t>
  </si>
  <si>
    <t>Продуктовые изделия</t>
  </si>
  <si>
    <t>Сосательные изделия</t>
  </si>
  <si>
    <t>Кино производство</t>
  </si>
  <si>
    <t>Авто - транспорт</t>
  </si>
  <si>
    <t>Общественный транспорт</t>
  </si>
  <si>
    <t>&gt;50000</t>
  </si>
  <si>
    <t>&lt;=90000</t>
  </si>
  <si>
    <t>&gt;=20.04.2007</t>
  </si>
  <si>
    <t>&gt;=30000</t>
  </si>
  <si>
    <t>&lt;01.07.2007</t>
  </si>
  <si>
    <t>Общественный транспорт*</t>
  </si>
  <si>
    <t>&lt;=20000</t>
  </si>
  <si>
    <t>N</t>
  </si>
  <si>
    <t>Фамилия</t>
  </si>
  <si>
    <t>Имя</t>
  </si>
  <si>
    <t>Класс</t>
  </si>
  <si>
    <t>Год рожд.</t>
  </si>
  <si>
    <t>Число пропусков</t>
  </si>
  <si>
    <t>Число посещенных занятий</t>
  </si>
  <si>
    <t>Ершова</t>
  </si>
  <si>
    <t>Петров</t>
  </si>
  <si>
    <t>Сидоров</t>
  </si>
  <si>
    <t>Козлов</t>
  </si>
  <si>
    <t>Симонова</t>
  </si>
  <si>
    <t>Борисов</t>
  </si>
  <si>
    <t>Морозова</t>
  </si>
  <si>
    <t>Громов</t>
  </si>
  <si>
    <t>Алферова</t>
  </si>
  <si>
    <t>Ирина</t>
  </si>
  <si>
    <t>Валентина</t>
  </si>
  <si>
    <t>Семен</t>
  </si>
  <si>
    <t>Мария</t>
  </si>
  <si>
    <t>Андрей</t>
  </si>
  <si>
    <t>Василия</t>
  </si>
  <si>
    <t>Екатерина</t>
  </si>
  <si>
    <t>Петр</t>
  </si>
  <si>
    <t>Алексей</t>
  </si>
  <si>
    <t>Юлия</t>
  </si>
  <si>
    <t>Денис</t>
  </si>
  <si>
    <t>Василий</t>
  </si>
  <si>
    <t>Александр</t>
  </si>
  <si>
    <t>Елена</t>
  </si>
  <si>
    <t>Сумма выше среднего</t>
  </si>
  <si>
    <t>ООО*</t>
  </si>
  <si>
    <t>Общая сумма в счёте</t>
  </si>
  <si>
    <t>&lt;20000</t>
  </si>
  <si>
    <t>Количество фирм</t>
  </si>
  <si>
    <t>ЗАО*</t>
  </si>
  <si>
    <t>Минимальная сумма</t>
  </si>
  <si>
    <t>ТОО*</t>
  </si>
  <si>
    <t>Максимальная сумма</t>
  </si>
  <si>
    <t>&gt;5</t>
  </si>
  <si>
    <t>ОАО*</t>
  </si>
  <si>
    <t xml:space="preserve">Менеджер </t>
  </si>
  <si>
    <t xml:space="preserve">Месяц </t>
  </si>
  <si>
    <t xml:space="preserve">Продукты </t>
  </si>
  <si>
    <t xml:space="preserve">Доход </t>
  </si>
  <si>
    <t xml:space="preserve">Расход </t>
  </si>
  <si>
    <t xml:space="preserve">Прибыль </t>
  </si>
  <si>
    <t xml:space="preserve">Регион </t>
  </si>
  <si>
    <t>Иванов</t>
  </si>
  <si>
    <t>январь</t>
  </si>
  <si>
    <t>мясо</t>
  </si>
  <si>
    <t xml:space="preserve"> Страны СНГ</t>
  </si>
  <si>
    <t>февраль</t>
  </si>
  <si>
    <t xml:space="preserve"> Россия</t>
  </si>
  <si>
    <t>апрель</t>
  </si>
  <si>
    <t>май</t>
  </si>
  <si>
    <t>рыба</t>
  </si>
  <si>
    <t>март</t>
  </si>
  <si>
    <t>молоко</t>
  </si>
  <si>
    <t>Названия строк</t>
  </si>
  <si>
    <t>Общий итог</t>
  </si>
  <si>
    <t>Названия столбцов</t>
  </si>
  <si>
    <t>(Все)</t>
  </si>
  <si>
    <t xml:space="preserve">Сумма по полю Прибыль </t>
  </si>
  <si>
    <t>Месяц</t>
  </si>
  <si>
    <t>Продукты</t>
  </si>
  <si>
    <t>Первый</t>
  </si>
  <si>
    <t>Второй</t>
  </si>
  <si>
    <t>БАЛЛ</t>
  </si>
  <si>
    <t>Тигр</t>
  </si>
  <si>
    <t>Пупа</t>
  </si>
  <si>
    <t>Лупа</t>
  </si>
  <si>
    <t>Губка</t>
  </si>
  <si>
    <t>Гейрасим</t>
  </si>
  <si>
    <t>Конституция</t>
  </si>
  <si>
    <t>Россия</t>
  </si>
  <si>
    <t>Intel XEON</t>
  </si>
  <si>
    <t>Райн Гослинг</t>
  </si>
  <si>
    <t>Удивление</t>
  </si>
  <si>
    <t>GOSLING</t>
  </si>
  <si>
    <t>кЕтчунез</t>
  </si>
  <si>
    <t>СОСАГЕ</t>
  </si>
  <si>
    <t>Количество по полю Фамилия</t>
  </si>
  <si>
    <t>0-4</t>
  </si>
  <si>
    <t>5-9</t>
  </si>
  <si>
    <t>Заказ</t>
  </si>
  <si>
    <t>Название получателя</t>
  </si>
  <si>
    <t>Наименование товара</t>
  </si>
  <si>
    <t>Количество упаковок</t>
  </si>
  <si>
    <t>Цена за</t>
  </si>
  <si>
    <t>Стоимость заказа</t>
  </si>
  <si>
    <t>упаковку</t>
  </si>
  <si>
    <t>Кафе "Родничок"</t>
  </si>
  <si>
    <t>Орех грецкий</t>
  </si>
  <si>
    <t>Ресторан "Диана"</t>
  </si>
  <si>
    <t>Орех миндальный</t>
  </si>
  <si>
    <t>ТОО "Подарок"</t>
  </si>
  <si>
    <t>Набор специй № 1</t>
  </si>
  <si>
    <t>ТОО "Карпаты"</t>
  </si>
  <si>
    <t>Набор специй № 2</t>
  </si>
  <si>
    <t>Кафе "Синий закат"</t>
  </si>
  <si>
    <t>Универмаг "Гомель"</t>
  </si>
  <si>
    <t>Гастроном "Варшава"</t>
  </si>
  <si>
    <t>Набор специй № 3</t>
  </si>
  <si>
    <t>ТОО "Новость"</t>
  </si>
  <si>
    <t>АО "Баранки"</t>
  </si>
  <si>
    <t>Супермаркет "Речицкий"</t>
  </si>
  <si>
    <t>Универмаг "Кавказский"</t>
  </si>
  <si>
    <t>Кафе "Победа"</t>
  </si>
  <si>
    <t>Ресторан "Приморский"</t>
  </si>
  <si>
    <t>Фундук</t>
  </si>
  <si>
    <t>Ресторан "Пекин"</t>
  </si>
  <si>
    <t>Орех бразильский</t>
  </si>
  <si>
    <t>АО "Ленточка"</t>
  </si>
  <si>
    <t>Кешью</t>
  </si>
  <si>
    <t>Бар гостиницы "Турист"</t>
  </si>
  <si>
    <t>Универмаг "Российский"</t>
  </si>
  <si>
    <t>Ресторан "Бангкок"</t>
  </si>
  <si>
    <t>ТОО "Прохлада"</t>
  </si>
  <si>
    <t>Пиццерия "Италия"</t>
  </si>
  <si>
    <t>Кафе "Ураган"</t>
  </si>
  <si>
    <t>Бар гостиницы "Россия"</t>
  </si>
  <si>
    <t>Ресторан "Природа"</t>
  </si>
  <si>
    <t>Ресторан "Украина"</t>
  </si>
  <si>
    <t>Универмаг "Слава"</t>
  </si>
  <si>
    <t>Фирма "Аркада"</t>
  </si>
  <si>
    <t>АО "Кленовый лист"</t>
  </si>
  <si>
    <t>Пиццерия "Славяне"</t>
  </si>
  <si>
    <t>Фирма "Браво"</t>
  </si>
  <si>
    <t>Магазин "Русский лес"</t>
  </si>
  <si>
    <t>Столовая "Серпантин"</t>
  </si>
  <si>
    <t>Фирма "Златоуст"</t>
  </si>
  <si>
    <t>Пиццерия "Неаполь"</t>
  </si>
  <si>
    <t>ТОО "Забота"</t>
  </si>
  <si>
    <t>Бар "Три ступени"</t>
  </si>
  <si>
    <t>Сумма по полю Количество упаковок</t>
  </si>
  <si>
    <t>Итог Сумма по полю Количество упаковок</t>
  </si>
  <si>
    <t>Итог Сумма по полю Стоимость заказа</t>
  </si>
  <si>
    <t>Сумма по полю Стоимость заказа</t>
  </si>
  <si>
    <t>Сумма по полю Цена за</t>
  </si>
  <si>
    <t>Итог Сумма по полю Цена за</t>
  </si>
  <si>
    <t>Среднее по полю Цена за</t>
  </si>
  <si>
    <t>Максимум по полю Стоимость заказа</t>
  </si>
  <si>
    <t>Минимум по полю Количество упаковок</t>
  </si>
  <si>
    <t>молоко Итог</t>
  </si>
  <si>
    <t>мясо Итог</t>
  </si>
  <si>
    <t>рыба Итог</t>
  </si>
  <si>
    <t>Цены товаров</t>
  </si>
  <si>
    <t xml:space="preserve">Товар </t>
  </si>
  <si>
    <t>Артикул</t>
  </si>
  <si>
    <t>Цена, руб.</t>
  </si>
  <si>
    <t>Ведро</t>
  </si>
  <si>
    <t>Веник</t>
  </si>
  <si>
    <t>Стол</t>
  </si>
  <si>
    <t>Стул</t>
  </si>
  <si>
    <t>Табурет</t>
  </si>
  <si>
    <t>Ершик</t>
  </si>
  <si>
    <t>Изолента</t>
  </si>
  <si>
    <t>Указатель</t>
  </si>
  <si>
    <t>Лента</t>
  </si>
  <si>
    <t>Ковер</t>
  </si>
  <si>
    <t>Контейнер</t>
  </si>
  <si>
    <t>Степлер</t>
  </si>
  <si>
    <t>Ежедневник</t>
  </si>
  <si>
    <t>Корзина</t>
  </si>
  <si>
    <t>Метла</t>
  </si>
  <si>
    <t>Точилка</t>
  </si>
  <si>
    <t>Карандаш</t>
  </si>
  <si>
    <t>Продажа товаров</t>
  </si>
  <si>
    <t>Кол-во, ед.</t>
  </si>
  <si>
    <t>Стоимость, руб.</t>
  </si>
  <si>
    <t>Продажа фруктов</t>
  </si>
  <si>
    <t>Наименование</t>
  </si>
  <si>
    <t>Вес, кг</t>
  </si>
  <si>
    <t>Цена, р.</t>
  </si>
  <si>
    <t>Стоимость, р.</t>
  </si>
  <si>
    <t>Яблоки</t>
  </si>
  <si>
    <t>Груши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</si>
  <si>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</si>
  <si>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</si>
  <si>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</si>
  <si>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</si>
  <si>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</si>
  <si>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</si>
  <si>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</si>
  <si>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</si>
  <si>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</si>
  <si>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Цены фруктов</t>
  </si>
  <si>
    <t>Баклажан</t>
  </si>
  <si>
    <t>Прайс 2019 г.</t>
  </si>
  <si>
    <t>Новая стоимость, р.</t>
  </si>
  <si>
    <t>123-432</t>
  </si>
  <si>
    <t>Корпус редуктора</t>
  </si>
  <si>
    <t>332-554</t>
  </si>
  <si>
    <t>Шестерня 1 передачи</t>
  </si>
  <si>
    <t>642-443</t>
  </si>
  <si>
    <t>Привод вала</t>
  </si>
  <si>
    <t>322-341</t>
  </si>
  <si>
    <t>Шестерня 2 передачи</t>
  </si>
  <si>
    <t>444-321</t>
  </si>
  <si>
    <t>Накладка корпуса</t>
  </si>
  <si>
    <t>664-313</t>
  </si>
  <si>
    <t>Коробка передач в сборе</t>
  </si>
  <si>
    <t>Сцепление</t>
  </si>
  <si>
    <t>Прайс 2020 г.</t>
  </si>
  <si>
    <t>785-567</t>
  </si>
  <si>
    <t>986-334</t>
  </si>
  <si>
    <t>Тормозной цилиндр</t>
  </si>
  <si>
    <t>Предмет</t>
  </si>
  <si>
    <t>Алгебра</t>
  </si>
  <si>
    <t>Геометрия</t>
  </si>
  <si>
    <t>Химия</t>
  </si>
  <si>
    <t>История</t>
  </si>
  <si>
    <t>География</t>
  </si>
  <si>
    <t>Оценка</t>
  </si>
  <si>
    <t>Введите предмет</t>
  </si>
  <si>
    <t>Тип комнаты</t>
  </si>
  <si>
    <t>Цена в долларах</t>
  </si>
  <si>
    <t>Курс доллара:</t>
  </si>
  <si>
    <t>Скидка:</t>
  </si>
  <si>
    <t>Дней не менее</t>
  </si>
  <si>
    <t>Однокомн</t>
  </si>
  <si>
    <t>Люкс</t>
  </si>
  <si>
    <t>Двухкомн</t>
  </si>
  <si>
    <t>N п/п</t>
  </si>
  <si>
    <t>ФИО</t>
  </si>
  <si>
    <t>№ комнаты</t>
  </si>
  <si>
    <t>Продолжительность пребывания в днях</t>
  </si>
  <si>
    <t>Стоимость проживания за 1 день</t>
  </si>
  <si>
    <t>в долл.</t>
  </si>
  <si>
    <t>в руб.</t>
  </si>
  <si>
    <t>К оплате, в руб.</t>
  </si>
  <si>
    <t>Иванов А.И.</t>
  </si>
  <si>
    <t>Иваненко М.Р.</t>
  </si>
  <si>
    <t>Петров Т.А.</t>
  </si>
  <si>
    <t>Петренко П.П.</t>
  </si>
  <si>
    <t>Сидоров В.К</t>
  </si>
  <si>
    <t>Седова К.У.</t>
  </si>
  <si>
    <t>Фомичев А.Л.</t>
  </si>
  <si>
    <t>Дней от 9 до 15</t>
  </si>
  <si>
    <t>Дней до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</si>
</sst>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.00\ [$₽-419]_-;\-* #,##0.00\ [$₽-419]_-;_-* &quot;-&quot;??\ [$₽-419]_-;_-@_-"/>
  </numFmts>
  <fonts count="1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Aptos Narrow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i/>
      <sz val="14"/>
      <color rgb="FFFFFFFF"/>
      <name val="Arial"/>
      <family val="2"/>
      <charset val="204"/>
    </font>
    <font>
      <sz val="14"/>
      <color theme="1"/>
      <name val="Arial"/>
      <family val="2"/>
      <charset val="204"/>
    </font>
    <font>
      <sz val="11"/>
      <color theme="1"/>
      <name val="Aptos Narrow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80"/>
      </bottom>
      <diagonal/>
    </border>
    <border>
      <left/>
      <right style="medium">
        <color rgb="FF000000"/>
      </right>
      <top/>
      <bottom style="medium">
        <color rgb="FF00008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44" fontId="14" fillId="0" borderId="0" applyFont="0" applyFill="0" applyBorder="0" applyAlignment="0" applyProtection="0"/>
  </cellStyleXfs>
  <cellXfs count="14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0" fontId="6" fillId="0" borderId="0" xfId="0" applyFont="1" applyBorder="1"/>
    <xf numFmtId="0" fontId="4" fillId="0" borderId="0" xfId="0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0" fillId="0" borderId="0" xfId="0" applyBorder="1"/>
    <xf numFmtId="0" fontId="8" fillId="0" borderId="0" xfId="1"/>
    <xf numFmtId="0" fontId="7" fillId="0" borderId="0" xfId="1" applyFont="1"/>
    <xf numFmtId="14" fontId="8" fillId="0" borderId="0" xfId="1" applyNumberForma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 wrapText="1"/>
    </xf>
    <xf numFmtId="0" fontId="7" fillId="0" borderId="0" xfId="1" applyFont="1" applyFill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12" fillId="2" borderId="7" xfId="0" applyFont="1" applyFill="1" applyBorder="1" applyAlignment="1">
      <alignment horizontal="left" vertical="center" wrapText="1" indent="2"/>
    </xf>
    <xf numFmtId="0" fontId="12" fillId="2" borderId="9" xfId="0" applyFont="1" applyFill="1" applyBorder="1" applyAlignment="1">
      <alignment horizontal="left" vertical="center" wrapText="1" indent="2"/>
    </xf>
    <xf numFmtId="0" fontId="13" fillId="3" borderId="4" xfId="0" applyFont="1" applyFill="1" applyBorder="1" applyAlignment="1">
      <alignment horizontal="left" vertical="center" wrapText="1" indent="1"/>
    </xf>
    <xf numFmtId="0" fontId="13" fillId="3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left" vertical="center" wrapText="1" indent="6"/>
    </xf>
    <xf numFmtId="0" fontId="13" fillId="3" borderId="5" xfId="0" applyFont="1" applyFill="1" applyBorder="1" applyAlignment="1">
      <alignment horizontal="left" vertical="center" wrapText="1" indent="7"/>
    </xf>
    <xf numFmtId="0" fontId="13" fillId="3" borderId="2" xfId="0" applyFont="1" applyFill="1" applyBorder="1" applyAlignment="1">
      <alignment horizontal="left" vertical="center" wrapText="1" indent="1"/>
    </xf>
    <xf numFmtId="0" fontId="13" fillId="3" borderId="3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right" vertical="center" wrapText="1"/>
    </xf>
    <xf numFmtId="0" fontId="13" fillId="3" borderId="3" xfId="0" applyFont="1" applyFill="1" applyBorder="1" applyAlignment="1">
      <alignment horizontal="left" vertical="center" wrapText="1" indent="6"/>
    </xf>
    <xf numFmtId="0" fontId="12" fillId="2" borderId="7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2" fontId="0" fillId="0" borderId="0" xfId="0" pivotButton="1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4" fillId="0" borderId="15" xfId="0" applyFont="1" applyFill="1" applyBorder="1" applyAlignment="1">
      <alignment vertical="center" wrapText="1"/>
    </xf>
    <xf numFmtId="0" fontId="11" fillId="0" borderId="20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0" fillId="0" borderId="14" xfId="0" applyFont="1" applyBorder="1" applyAlignment="1">
      <alignment horizontal="left" vertical="center" indent="1"/>
    </xf>
    <xf numFmtId="0" fontId="10" fillId="0" borderId="14" xfId="0" applyFont="1" applyBorder="1" applyAlignment="1">
      <alignment horizontal="right" vertical="center"/>
    </xf>
    <xf numFmtId="0" fontId="10" fillId="0" borderId="14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0" fontId="10" fillId="0" borderId="2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horizontal="right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horizontal="right" vertical="center"/>
    </xf>
    <xf numFmtId="0" fontId="10" fillId="0" borderId="25" xfId="0" applyFont="1" applyFill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8" xfId="0" applyFont="1" applyBorder="1" applyAlignment="1">
      <alignment horizontal="right" vertical="center"/>
    </xf>
    <xf numFmtId="0" fontId="10" fillId="0" borderId="19" xfId="0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64" fontId="0" fillId="0" borderId="1" xfId="2" applyNumberFormat="1" applyFont="1" applyBorder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wrapText="1" indent="1"/>
    </xf>
    <xf numFmtId="0" fontId="16" fillId="0" borderId="0" xfId="0" applyFont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32" xfId="0" applyFont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2" borderId="6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6" xfId="0" applyFont="1" applyFill="1" applyBorder="1" applyAlignment="1">
      <alignment horizontal="left" vertical="center" wrapText="1" indent="4"/>
    </xf>
    <xf numFmtId="0" fontId="12" fillId="2" borderId="4" xfId="0" applyFont="1" applyFill="1" applyBorder="1" applyAlignment="1">
      <alignment horizontal="left" vertical="center" wrapText="1" indent="4"/>
    </xf>
    <xf numFmtId="0" fontId="12" fillId="2" borderId="6" xfId="0" applyFont="1" applyFill="1" applyBorder="1" applyAlignment="1">
      <alignment horizontal="left" vertical="center" wrapText="1" indent="6"/>
    </xf>
    <xf numFmtId="0" fontId="12" fillId="2" borderId="8" xfId="0" applyFont="1" applyFill="1" applyBorder="1" applyAlignment="1">
      <alignment horizontal="left" vertical="center" wrapText="1" indent="6"/>
    </xf>
    <xf numFmtId="0" fontId="12" fillId="2" borderId="6" xfId="0" applyFont="1" applyFill="1" applyBorder="1" applyAlignment="1">
      <alignment horizontal="left" vertical="center" wrapText="1" indent="2"/>
    </xf>
    <xf numFmtId="0" fontId="12" fillId="2" borderId="8" xfId="0" applyFont="1" applyFill="1" applyBorder="1" applyAlignment="1">
      <alignment horizontal="left" vertical="center" wrapText="1" indent="2"/>
    </xf>
    <xf numFmtId="0" fontId="12" fillId="2" borderId="8" xfId="0" applyFont="1" applyFill="1" applyBorder="1" applyAlignment="1">
      <alignment horizontal="left" vertical="center" wrapText="1" indent="4"/>
    </xf>
    <xf numFmtId="0" fontId="12" fillId="2" borderId="6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10" fontId="0" fillId="0" borderId="0" xfId="0" applyNumberFormat="1" applyFill="1" applyBorder="1" applyAlignment="1">
      <alignment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0" borderId="1" xfId="0" applyFont="1" applyBorder="1" applyAlignment="1">
      <alignment horizontal="right"/>
    </xf>
  </cellXfs>
  <cellStyles count="3">
    <cellStyle name="Денежный" xfId="2" builtinId="4"/>
    <cellStyle name="Обычный" xfId="0" builtinId="0"/>
    <cellStyle name="Обычный 2" xfId="1" xr:uid="{00000000-0005-0000-0000-000002000000}"/>
  </cellStyles>
  <dxfs count="2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Математика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Лист2!$B$14</c:f>
              <c:strCache>
                <c:ptCount val="1"/>
                <c:pt idx="0">
                  <c:v>Итого "5"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Лист2!$C$14:$E$14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5-47E0-9E90-560DB675E452}"/>
            </c:ext>
          </c:extLst>
        </c:ser>
        <c:ser>
          <c:idx val="1"/>
          <c:order val="1"/>
          <c:tx>
            <c:strRef>
              <c:f>Лист2!$B$15</c:f>
              <c:strCache>
                <c:ptCount val="1"/>
                <c:pt idx="0">
                  <c:v>Итого "4"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Лист2!$C$15:$E$15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5-47E0-9E90-560DB675E452}"/>
            </c:ext>
          </c:extLst>
        </c:ser>
        <c:ser>
          <c:idx val="2"/>
          <c:order val="2"/>
          <c:tx>
            <c:strRef>
              <c:f>Лист2!$B$16</c:f>
              <c:strCache>
                <c:ptCount val="1"/>
                <c:pt idx="0">
                  <c:v>Итого "3"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Лист2!$C$16:$E$16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75-47E0-9E90-560DB675E452}"/>
            </c:ext>
          </c:extLst>
        </c:ser>
        <c:ser>
          <c:idx val="3"/>
          <c:order val="3"/>
          <c:tx>
            <c:strRef>
              <c:f>Лист2!$B$17</c:f>
              <c:strCache>
                <c:ptCount val="1"/>
                <c:pt idx="0">
                  <c:v>Итого "2"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Лист2!$C$17:$E$17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75-47E0-9E90-560DB675E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248904"/>
        <c:axId val="354249288"/>
      </c:lineChart>
      <c:catAx>
        <c:axId val="35424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249288"/>
        <c:crosses val="autoZero"/>
        <c:auto val="1"/>
        <c:lblAlgn val="ctr"/>
        <c:lblOffset val="100"/>
        <c:noMultiLvlLbl val="0"/>
      </c:catAx>
      <c:valAx>
        <c:axId val="35424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24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Информатика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Лист2!$B$14</c:f>
              <c:strCache>
                <c:ptCount val="1"/>
                <c:pt idx="0">
                  <c:v>Итого "5"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Лист2!$F$14:$H$14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EC-46D4-8F3D-EB4DF448F9EA}"/>
            </c:ext>
          </c:extLst>
        </c:ser>
        <c:ser>
          <c:idx val="1"/>
          <c:order val="1"/>
          <c:tx>
            <c:strRef>
              <c:f>Лист2!$B$15</c:f>
              <c:strCache>
                <c:ptCount val="1"/>
                <c:pt idx="0">
                  <c:v>Итого "4"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Лист2!$F$15:$H$15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EC-46D4-8F3D-EB4DF448F9EA}"/>
            </c:ext>
          </c:extLst>
        </c:ser>
        <c:ser>
          <c:idx val="2"/>
          <c:order val="2"/>
          <c:tx>
            <c:strRef>
              <c:f>Лист2!$B$16</c:f>
              <c:strCache>
                <c:ptCount val="1"/>
                <c:pt idx="0">
                  <c:v>Итого "3"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Лист2!$F$16:$H$16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EC-46D4-8F3D-EB4DF448F9EA}"/>
            </c:ext>
          </c:extLst>
        </c:ser>
        <c:ser>
          <c:idx val="3"/>
          <c:order val="3"/>
          <c:tx>
            <c:strRef>
              <c:f>Лист2!$B$17</c:f>
              <c:strCache>
                <c:ptCount val="1"/>
                <c:pt idx="0">
                  <c:v>Итого "2"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Лист2!$F$17:$H$17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EC-46D4-8F3D-EB4DF448F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042872"/>
        <c:axId val="354043256"/>
      </c:lineChart>
      <c:catAx>
        <c:axId val="35404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043256"/>
        <c:crosses val="autoZero"/>
        <c:auto val="1"/>
        <c:lblAlgn val="ctr"/>
        <c:lblOffset val="100"/>
        <c:noMultiLvlLbl val="0"/>
      </c:catAx>
      <c:valAx>
        <c:axId val="35404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04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Физика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Лист2!$B$14</c:f>
              <c:strCache>
                <c:ptCount val="1"/>
                <c:pt idx="0">
                  <c:v>Итого "5"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Лист2!$I$14:$K$14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C-4902-A5D9-F9264C464ACB}"/>
            </c:ext>
          </c:extLst>
        </c:ser>
        <c:ser>
          <c:idx val="1"/>
          <c:order val="1"/>
          <c:tx>
            <c:strRef>
              <c:f>Лист2!$B$15</c:f>
              <c:strCache>
                <c:ptCount val="1"/>
                <c:pt idx="0">
                  <c:v>Итого "4"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Лист2!$I$15:$K$15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C-4902-A5D9-F9264C464ACB}"/>
            </c:ext>
          </c:extLst>
        </c:ser>
        <c:ser>
          <c:idx val="2"/>
          <c:order val="2"/>
          <c:tx>
            <c:strRef>
              <c:f>Лист2!$B$16</c:f>
              <c:strCache>
                <c:ptCount val="1"/>
                <c:pt idx="0">
                  <c:v>Итого "3"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Лист2!$I$16:$K$16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7C-4902-A5D9-F9264C464ACB}"/>
            </c:ext>
          </c:extLst>
        </c:ser>
        <c:ser>
          <c:idx val="3"/>
          <c:order val="3"/>
          <c:tx>
            <c:strRef>
              <c:f>Лист2!$B$17</c:f>
              <c:strCache>
                <c:ptCount val="1"/>
                <c:pt idx="0">
                  <c:v>Итого "2"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Лист2!$I$17:$K$17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7C-4902-A5D9-F9264C464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528392"/>
        <c:axId val="354528776"/>
      </c:lineChart>
      <c:catAx>
        <c:axId val="35452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528776"/>
        <c:crosses val="autoZero"/>
        <c:auto val="1"/>
        <c:lblAlgn val="ctr"/>
        <c:lblOffset val="100"/>
        <c:noMultiLvlLbl val="0"/>
      </c:catAx>
      <c:valAx>
        <c:axId val="35452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52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Сравнение</a:t>
            </a:r>
            <a:r>
              <a:rPr lang="ru-RU" b="1" baseline="0"/>
              <a:t> успеваемости по предметам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Лист2!$B$14</c:f>
              <c:strCache>
                <c:ptCount val="1"/>
                <c:pt idx="0">
                  <c:v>Итого "5"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Лист2!$C$2:$K$3</c:f>
              <c:multiLvlStrCache>
                <c:ptCount val="9"/>
                <c:lvl>
                  <c:pt idx="0">
                    <c:v>I</c:v>
                  </c:pt>
                  <c:pt idx="1">
                    <c:v>II</c:v>
                  </c:pt>
                  <c:pt idx="2">
                    <c:v>год</c:v>
                  </c:pt>
                  <c:pt idx="3">
                    <c:v>I</c:v>
                  </c:pt>
                  <c:pt idx="4">
                    <c:v>II</c:v>
                  </c:pt>
                  <c:pt idx="5">
                    <c:v>год</c:v>
                  </c:pt>
                  <c:pt idx="6">
                    <c:v>I</c:v>
                  </c:pt>
                  <c:pt idx="7">
                    <c:v>II</c:v>
                  </c:pt>
                  <c:pt idx="8">
                    <c:v>год</c:v>
                  </c:pt>
                </c:lvl>
                <c:lvl>
                  <c:pt idx="0">
                    <c:v>Математика</c:v>
                  </c:pt>
                  <c:pt idx="3">
                    <c:v>Информатика</c:v>
                  </c:pt>
                  <c:pt idx="6">
                    <c:v>Физика</c:v>
                  </c:pt>
                </c:lvl>
              </c:multiLvlStrCache>
            </c:multiLvlStrRef>
          </c:cat>
          <c:val>
            <c:numRef>
              <c:f>Лист2!$C$14:$K$14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06CB-4EE3-BAE0-70B0E69FBDD8}"/>
            </c:ext>
          </c:extLst>
        </c:ser>
        <c:ser>
          <c:idx val="1"/>
          <c:order val="1"/>
          <c:tx>
            <c:strRef>
              <c:f>Лист2!$B$15</c:f>
              <c:strCache>
                <c:ptCount val="1"/>
                <c:pt idx="0">
                  <c:v>Итого "4"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Лист2!$C$2:$K$3</c:f>
              <c:multiLvlStrCache>
                <c:ptCount val="9"/>
                <c:lvl>
                  <c:pt idx="0">
                    <c:v>I</c:v>
                  </c:pt>
                  <c:pt idx="1">
                    <c:v>II</c:v>
                  </c:pt>
                  <c:pt idx="2">
                    <c:v>год</c:v>
                  </c:pt>
                  <c:pt idx="3">
                    <c:v>I</c:v>
                  </c:pt>
                  <c:pt idx="4">
                    <c:v>II</c:v>
                  </c:pt>
                  <c:pt idx="5">
                    <c:v>год</c:v>
                  </c:pt>
                  <c:pt idx="6">
                    <c:v>I</c:v>
                  </c:pt>
                  <c:pt idx="7">
                    <c:v>II</c:v>
                  </c:pt>
                  <c:pt idx="8">
                    <c:v>год</c:v>
                  </c:pt>
                </c:lvl>
                <c:lvl>
                  <c:pt idx="0">
                    <c:v>Математика</c:v>
                  </c:pt>
                  <c:pt idx="3">
                    <c:v>Информатика</c:v>
                  </c:pt>
                  <c:pt idx="6">
                    <c:v>Физика</c:v>
                  </c:pt>
                </c:lvl>
              </c:multiLvlStrCache>
            </c:multiLvlStrRef>
          </c:cat>
          <c:val>
            <c:numRef>
              <c:f>Лист2!$C$15:$K$15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06CB-4EE3-BAE0-70B0E69FBDD8}"/>
            </c:ext>
          </c:extLst>
        </c:ser>
        <c:ser>
          <c:idx val="2"/>
          <c:order val="2"/>
          <c:tx>
            <c:strRef>
              <c:f>Лист2!$B$16</c:f>
              <c:strCache>
                <c:ptCount val="1"/>
                <c:pt idx="0">
                  <c:v>Итого "3"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Лист2!$C$2:$K$3</c:f>
              <c:multiLvlStrCache>
                <c:ptCount val="9"/>
                <c:lvl>
                  <c:pt idx="0">
                    <c:v>I</c:v>
                  </c:pt>
                  <c:pt idx="1">
                    <c:v>II</c:v>
                  </c:pt>
                  <c:pt idx="2">
                    <c:v>год</c:v>
                  </c:pt>
                  <c:pt idx="3">
                    <c:v>I</c:v>
                  </c:pt>
                  <c:pt idx="4">
                    <c:v>II</c:v>
                  </c:pt>
                  <c:pt idx="5">
                    <c:v>год</c:v>
                  </c:pt>
                  <c:pt idx="6">
                    <c:v>I</c:v>
                  </c:pt>
                  <c:pt idx="7">
                    <c:v>II</c:v>
                  </c:pt>
                  <c:pt idx="8">
                    <c:v>год</c:v>
                  </c:pt>
                </c:lvl>
                <c:lvl>
                  <c:pt idx="0">
                    <c:v>Математика</c:v>
                  </c:pt>
                  <c:pt idx="3">
                    <c:v>Информатика</c:v>
                  </c:pt>
                  <c:pt idx="6">
                    <c:v>Физика</c:v>
                  </c:pt>
                </c:lvl>
              </c:multiLvlStrCache>
            </c:multiLvlStrRef>
          </c:cat>
          <c:val>
            <c:numRef>
              <c:f>Лист2!$C$16:$K$16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2-06CB-4EE3-BAE0-70B0E69FBDD8}"/>
            </c:ext>
          </c:extLst>
        </c:ser>
        <c:ser>
          <c:idx val="3"/>
          <c:order val="3"/>
          <c:tx>
            <c:strRef>
              <c:f>Лист2!$B$17</c:f>
              <c:strCache>
                <c:ptCount val="1"/>
                <c:pt idx="0">
                  <c:v>Итого "2"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Лист2!$C$2:$K$3</c:f>
              <c:multiLvlStrCache>
                <c:ptCount val="9"/>
                <c:lvl>
                  <c:pt idx="0">
                    <c:v>I</c:v>
                  </c:pt>
                  <c:pt idx="1">
                    <c:v>II</c:v>
                  </c:pt>
                  <c:pt idx="2">
                    <c:v>год</c:v>
                  </c:pt>
                  <c:pt idx="3">
                    <c:v>I</c:v>
                  </c:pt>
                  <c:pt idx="4">
                    <c:v>II</c:v>
                  </c:pt>
                  <c:pt idx="5">
                    <c:v>год</c:v>
                  </c:pt>
                  <c:pt idx="6">
                    <c:v>I</c:v>
                  </c:pt>
                  <c:pt idx="7">
                    <c:v>II</c:v>
                  </c:pt>
                  <c:pt idx="8">
                    <c:v>год</c:v>
                  </c:pt>
                </c:lvl>
                <c:lvl>
                  <c:pt idx="0">
                    <c:v>Математика</c:v>
                  </c:pt>
                  <c:pt idx="3">
                    <c:v>Информатика</c:v>
                  </c:pt>
                  <c:pt idx="6">
                    <c:v>Физика</c:v>
                  </c:pt>
                </c:lvl>
              </c:multiLvlStrCache>
            </c:multiLvlStrRef>
          </c:cat>
          <c:val>
            <c:numRef>
              <c:f>Лист2!$C$17:$K$17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3-06CB-4EE3-BAE0-70B0E69FBD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54054552"/>
        <c:axId val="354205808"/>
        <c:axId val="0"/>
      </c:bar3DChart>
      <c:catAx>
        <c:axId val="35405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205808"/>
        <c:crosses val="autoZero"/>
        <c:auto val="1"/>
        <c:lblAlgn val="ctr"/>
        <c:lblOffset val="100"/>
        <c:noMultiLvlLbl val="0"/>
      </c:catAx>
      <c:valAx>
        <c:axId val="35420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0545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Математика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2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DE-4974-AEA6-4CFD9EB2FDDE}"/>
              </c:ext>
            </c:extLst>
          </c:dPt>
          <c:dPt>
            <c:idx val="1"/>
            <c:bubble3D val="0"/>
            <c:explosion val="46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DE-4974-AEA6-4CFD9EB2FD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7DE-4974-AEA6-4CFD9EB2FDDE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7DE-4974-AEA6-4CFD9EB2FD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Лист2!$B$14:$B$17</c:f>
              <c:strCache>
                <c:ptCount val="4"/>
                <c:pt idx="0">
                  <c:v>Итого "5"</c:v>
                </c:pt>
                <c:pt idx="1">
                  <c:v>Итого "4"</c:v>
                </c:pt>
                <c:pt idx="2">
                  <c:v>Итого "3"</c:v>
                </c:pt>
                <c:pt idx="3">
                  <c:v>Итого "2"</c:v>
                </c:pt>
              </c:strCache>
            </c:strRef>
          </c:cat>
          <c:val>
            <c:numRef>
              <c:f>Лист2!$E$14:$E$17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DE-4974-AEA6-4CFD9EB2FD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1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5EB-4646-9E34-EC81B16E3338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5EB-4646-9E34-EC81B16E33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5EB-4646-9E34-EC81B16E3338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5EB-4646-9E34-EC81B16E33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Лист2!$B$14:$B$17</c:f>
              <c:strCache>
                <c:ptCount val="4"/>
                <c:pt idx="0">
                  <c:v>Итого "5"</c:v>
                </c:pt>
                <c:pt idx="1">
                  <c:v>Итого "4"</c:v>
                </c:pt>
                <c:pt idx="2">
                  <c:v>Итого "3"</c:v>
                </c:pt>
                <c:pt idx="3">
                  <c:v>Итого "2"</c:v>
                </c:pt>
              </c:strCache>
            </c:strRef>
          </c:cat>
          <c:val>
            <c:numRef>
              <c:f>Лист2!$H$14:$H$17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EB-4646-9E34-EC81B16E333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Физика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5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49-4E9D-9F52-E2CE1AC5D806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49-4E9D-9F52-E2CE1AC5D8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49-4E9D-9F52-E2CE1AC5D806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49-4E9D-9F52-E2CE1AC5D806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Лист2!$B$14:$B$17</c:f>
              <c:strCache>
                <c:ptCount val="4"/>
                <c:pt idx="0">
                  <c:v>Итого "5"</c:v>
                </c:pt>
                <c:pt idx="1">
                  <c:v>Итого "4"</c:v>
                </c:pt>
                <c:pt idx="2">
                  <c:v>Итого "3"</c:v>
                </c:pt>
                <c:pt idx="3">
                  <c:v>Итого "2"</c:v>
                </c:pt>
              </c:strCache>
            </c:strRef>
          </c:cat>
          <c:val>
            <c:numRef>
              <c:f>Лист2!$K$14:$K$17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49-4E9D-9F52-E2CE1AC5D80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cap="non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Биржа труда</a:t>
            </a:r>
          </a:p>
        </c:rich>
      </c:tx>
      <c:layout>
        <c:manualLayout>
          <c:xMode val="edge"/>
          <c:yMode val="edge"/>
          <c:x val="0.37510076437884604"/>
          <c:y val="3.0232625552576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0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038883492058604E-2"/>
          <c:y val="0.142925366688261"/>
          <c:w val="0.71422007948895228"/>
          <c:h val="0.705224291615334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Лист3!$A$3</c:f>
              <c:strCache>
                <c:ptCount val="1"/>
                <c:pt idx="0">
                  <c:v>Учащиеся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6455303427338178E-2"/>
                  <c:y val="8.696282339299865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1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789817426003489"/>
                      <c:h val="0.105547141097180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9-3C09-4445-BDC4-2EFEFF067CBD}"/>
                </c:ext>
              </c:extLst>
            </c:dLbl>
            <c:dLbl>
              <c:idx val="1"/>
              <c:layout>
                <c:manualLayout>
                  <c:x val="-1.8719399128795236E-2"/>
                  <c:y val="3.5872164649612291E-3"/>
                </c:manualLayout>
              </c:layout>
              <c:showLegendKey val="1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C09-4445-BDC4-2EFEFF067CBD}"/>
                </c:ext>
              </c:extLst>
            </c:dLbl>
            <c:dLbl>
              <c:idx val="2"/>
              <c:layout>
                <c:manualLayout>
                  <c:x val="-2.0898527100215836E-2"/>
                  <c:y val="4.094499601420382E-3"/>
                </c:manualLayout>
              </c:layout>
              <c:showLegendKey val="1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C09-4445-BDC4-2EFEFF067C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1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(Лист3!$B$2,Лист3!$D$2,Лист3!$F$2)</c:f>
              <c:strCache>
                <c:ptCount val="3"/>
                <c:pt idx="0">
                  <c:v>2007 год</c:v>
                </c:pt>
                <c:pt idx="1">
                  <c:v>2009 год</c:v>
                </c:pt>
                <c:pt idx="2">
                  <c:v>2011 год</c:v>
                </c:pt>
              </c:strCache>
            </c:strRef>
          </c:cat>
          <c:val>
            <c:numRef>
              <c:f>(Лист3!$B$3,Лист3!$D$3,Лист3!$F$3)</c:f>
              <c:numCache>
                <c:formatCode>General</c:formatCode>
                <c:ptCount val="3"/>
                <c:pt idx="0">
                  <c:v>623</c:v>
                </c:pt>
                <c:pt idx="1">
                  <c:v>1500</c:v>
                </c:pt>
                <c:pt idx="2">
                  <c:v>2850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0-3C09-4445-BDC4-2EFEFF067CBD}"/>
            </c:ext>
          </c:extLst>
        </c:ser>
        <c:ser>
          <c:idx val="1"/>
          <c:order val="1"/>
          <c:tx>
            <c:strRef>
              <c:f>Лист3!$A$4</c:f>
              <c:strCache>
                <c:ptCount val="1"/>
                <c:pt idx="0">
                  <c:v>Студенты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C-3C09-4445-BDC4-2EFEFF067CBD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8-3C09-4445-BDC4-2EFEFF067CB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3C09-4445-BDC4-2EFEFF067CBD}"/>
              </c:ext>
            </c:extLst>
          </c:dPt>
          <c:dLbls>
            <c:dLbl>
              <c:idx val="0"/>
              <c:layout>
                <c:manualLayout>
                  <c:x val="-1.3281724116311868E-2"/>
                  <c:y val="0"/>
                </c:manualLayout>
              </c:layout>
              <c:showLegendKey val="1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C09-4445-BDC4-2EFEFF067CBD}"/>
                </c:ext>
              </c:extLst>
            </c:dLbl>
            <c:dLbl>
              <c:idx val="1"/>
              <c:layout>
                <c:manualLayout>
                  <c:x val="-1.8435366207455312E-2"/>
                  <c:y val="1.2283495334689766E-2"/>
                </c:manualLayout>
              </c:layout>
              <c:showLegendKey val="1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C09-4445-BDC4-2EFEFF067CBD}"/>
                </c:ext>
              </c:extLst>
            </c:dLbl>
            <c:dLbl>
              <c:idx val="2"/>
              <c:layout>
                <c:manualLayout>
                  <c:x val="-2.5313594573038112E-2"/>
                  <c:y val="1.9965214870642758E-2"/>
                </c:manualLayout>
              </c:layout>
              <c:showLegendKey val="1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C09-4445-BDC4-2EFEFF067C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1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(Лист3!$B$2,Лист3!$D$2,Лист3!$F$2)</c:f>
              <c:strCache>
                <c:ptCount val="3"/>
                <c:pt idx="0">
                  <c:v>2007 год</c:v>
                </c:pt>
                <c:pt idx="1">
                  <c:v>2009 год</c:v>
                </c:pt>
                <c:pt idx="2">
                  <c:v>2011 год</c:v>
                </c:pt>
              </c:strCache>
            </c:strRef>
          </c:cat>
          <c:val>
            <c:numRef>
              <c:f>(Лист3!$B$4,Лист3!$D$4,Лист3!$F$4)</c:f>
              <c:numCache>
                <c:formatCode>General</c:formatCode>
                <c:ptCount val="3"/>
                <c:pt idx="0">
                  <c:v>1250</c:v>
                </c:pt>
                <c:pt idx="1">
                  <c:v>2500</c:v>
                </c:pt>
                <c:pt idx="2">
                  <c:v>2150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1-3C09-4445-BDC4-2EFEFF067CBD}"/>
            </c:ext>
          </c:extLst>
        </c:ser>
        <c:ser>
          <c:idx val="2"/>
          <c:order val="2"/>
          <c:tx>
            <c:strRef>
              <c:f>Лист3!$A$5</c:f>
              <c:strCache>
                <c:ptCount val="1"/>
                <c:pt idx="0">
                  <c:v>Высшее образование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847E23F-69A8-41D1-ADD1-E96B9BBB54F2}" type="SERIESNAME">
                      <a:rPr lang="ru-RU"/>
                      <a:pPr/>
                      <a:t>[ИМЯ РЯДА]</a:t>
                    </a:fld>
                    <a:endParaRPr lang="ru-RU"/>
                  </a:p>
                  <a:p>
                    <a:r>
                      <a:rPr lang="ru-RU" baseline="0"/>
                      <a:t> </a:t>
                    </a:r>
                    <a:fld id="{00BFC234-B006-4749-B3C8-DA0444D880BA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showLegendKey val="1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A8F3-45DB-BBEF-3C1D4E2FD484}"/>
                </c:ext>
              </c:extLst>
            </c:dLbl>
            <c:dLbl>
              <c:idx val="1"/>
              <c:layout>
                <c:manualLayout>
                  <c:x val="1.8674503274253997E-2"/>
                  <c:y val="-5.0219643537591035E-2"/>
                </c:manualLayout>
              </c:layout>
              <c:tx>
                <c:rich>
                  <a:bodyPr/>
                  <a:lstStyle/>
                  <a:p>
                    <a:fld id="{D465A9AB-04EB-4695-A130-94319E2AD20F}" type="SERIESNAME">
                      <a:rPr lang="ru-RU"/>
                      <a:pPr/>
                      <a:t>[ИМЯ РЯДА]</a:t>
                    </a:fld>
                    <a:endParaRPr lang="ru-RU"/>
                  </a:p>
                  <a:p>
                    <a:r>
                      <a:rPr lang="ru-RU" baseline="0"/>
                      <a:t> </a:t>
                    </a:r>
                    <a:fld id="{3A6C6E58-ACD9-4AB0-BD5D-75BCCDA9F939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showLegendKey val="1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8F3-45DB-BBEF-3C1D4E2FD4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F7A3F54-B8E0-4C23-8247-26223453D28F}" type="SERIESNAME">
                      <a:rPr lang="ru-RU"/>
                      <a:pPr/>
                      <a:t>[ИМЯ РЯДА]</a:t>
                    </a:fld>
                    <a:endParaRPr lang="ru-RU" baseline="0"/>
                  </a:p>
                  <a:p>
                    <a:r>
                      <a:rPr lang="ru-RU" baseline="0"/>
                      <a:t> </a:t>
                    </a:r>
                    <a:fld id="{FC5A578A-40F7-471C-977C-85C57332EC09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showLegendKey val="1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A8F3-45DB-BBEF-3C1D4E2FD4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1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(Лист3!$B$5,Лист3!$D$5,Лист3!$F$5)</c:f>
              <c:numCache>
                <c:formatCode>General</c:formatCode>
                <c:ptCount val="3"/>
                <c:pt idx="0">
                  <c:v>2560</c:v>
                </c:pt>
                <c:pt idx="1">
                  <c:v>1300</c:v>
                </c:pt>
                <c:pt idx="2">
                  <c:v>2510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9-A8F3-45DB-BBEF-3C1D4E2FD4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7"/>
        <c:shape val="box"/>
        <c:axId val="181255416"/>
        <c:axId val="354728952"/>
        <c:axId val="0"/>
      </c:bar3DChart>
      <c:catAx>
        <c:axId val="181255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12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54728952"/>
        <c:crosses val="autoZero"/>
        <c:auto val="1"/>
        <c:lblAlgn val="ctr"/>
        <c:lblOffset val="100"/>
        <c:noMultiLvlLbl val="0"/>
      </c:catAx>
      <c:valAx>
        <c:axId val="35472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255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EXCEL.xlsx]Лаб 5 4!Сводная таблица6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454111986001749"/>
          <c:y val="0.25865522018081066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'Лаб 5 4'!$E$3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CF-4FC0-8748-BEB676B2F9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CF-4FC0-8748-BEB676B2F90E}"/>
              </c:ext>
            </c:extLst>
          </c:dPt>
          <c:cat>
            <c:strRef>
              <c:f>'Лаб 5 4'!$D$4:$D$6</c:f>
              <c:strCache>
                <c:ptCount val="2"/>
                <c:pt idx="0">
                  <c:v>0-4</c:v>
                </c:pt>
                <c:pt idx="1">
                  <c:v>5-9</c:v>
                </c:pt>
              </c:strCache>
            </c:strRef>
          </c:cat>
          <c:val>
            <c:numRef>
              <c:f>'Лаб 5 4'!$E$4:$E$6</c:f>
              <c:numCache>
                <c:formatCode>General</c:formatCode>
                <c:ptCount val="2"/>
                <c:pt idx="0">
                  <c:v>12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D-42FE-91A2-381C7DAC4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EXCEL.xlsx]Лаб 5 5!Сводная таблица7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'Лаб 5 5'!$I$2:$I$3</c:f>
              <c:strCache>
                <c:ptCount val="1"/>
                <c:pt idx="0">
                  <c:v>Кешью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'Лаб 5 5'!$H$4:$H$18</c:f>
              <c:multiLvlStrCache>
                <c:ptCount val="9"/>
                <c:lvl>
                  <c:pt idx="0">
                    <c:v>Сумма по полю Количество упаковок</c:v>
                  </c:pt>
                  <c:pt idx="1">
                    <c:v>Сумма по полю Цена за</c:v>
                  </c:pt>
                  <c:pt idx="2">
                    <c:v>Сумма по полю Стоимость заказа</c:v>
                  </c:pt>
                  <c:pt idx="3">
                    <c:v>Сумма по полю Количество упаковок</c:v>
                  </c:pt>
                  <c:pt idx="4">
                    <c:v>Сумма по полю Цена за</c:v>
                  </c:pt>
                  <c:pt idx="5">
                    <c:v>Сумма по полю Стоимость заказа</c:v>
                  </c:pt>
                  <c:pt idx="6">
                    <c:v>Сумма по полю Количество упаковок</c:v>
                  </c:pt>
                  <c:pt idx="7">
                    <c:v>Сумма по полю Цена за</c:v>
                  </c:pt>
                  <c:pt idx="8">
                    <c:v>Сумма по полю Стоимость заказа</c:v>
                  </c:pt>
                </c:lvl>
                <c:lvl>
                  <c:pt idx="0">
                    <c:v>АО "Баранки"</c:v>
                  </c:pt>
                  <c:pt idx="3">
                    <c:v>АО "Кленовый лист"</c:v>
                  </c:pt>
                  <c:pt idx="6">
                    <c:v>АО "Ленточка"</c:v>
                  </c:pt>
                </c:lvl>
              </c:multiLvlStrCache>
            </c:multiLvlStrRef>
          </c:cat>
          <c:val>
            <c:numRef>
              <c:f>'Лаб 5 5'!$I$4:$I$18</c:f>
              <c:numCache>
                <c:formatCode>General</c:formatCode>
                <c:ptCount val="9"/>
                <c:pt idx="6">
                  <c:v>18</c:v>
                </c:pt>
                <c:pt idx="7">
                  <c:v>12.1</c:v>
                </c:pt>
                <c:pt idx="8">
                  <c:v>217.79999999999998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0-4AE2-BDD7-8E6E13BAFFCC}"/>
            </c:ext>
          </c:extLst>
        </c:ser>
        <c:ser>
          <c:idx val="1"/>
          <c:order val="1"/>
          <c:tx>
            <c:strRef>
              <c:f>'Лаб 5 5'!$J$2:$J$3</c:f>
              <c:strCache>
                <c:ptCount val="1"/>
                <c:pt idx="0">
                  <c:v>Орех миндальный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'Лаб 5 5'!$H$4:$H$18</c:f>
              <c:multiLvlStrCache>
                <c:ptCount val="9"/>
                <c:lvl>
                  <c:pt idx="0">
                    <c:v>Сумма по полю Количество упаковок</c:v>
                  </c:pt>
                  <c:pt idx="1">
                    <c:v>Сумма по полю Цена за</c:v>
                  </c:pt>
                  <c:pt idx="2">
                    <c:v>Сумма по полю Стоимость заказа</c:v>
                  </c:pt>
                  <c:pt idx="3">
                    <c:v>Сумма по полю Количество упаковок</c:v>
                  </c:pt>
                  <c:pt idx="4">
                    <c:v>Сумма по полю Цена за</c:v>
                  </c:pt>
                  <c:pt idx="5">
                    <c:v>Сумма по полю Стоимость заказа</c:v>
                  </c:pt>
                  <c:pt idx="6">
                    <c:v>Сумма по полю Количество упаковок</c:v>
                  </c:pt>
                  <c:pt idx="7">
                    <c:v>Сумма по полю Цена за</c:v>
                  </c:pt>
                  <c:pt idx="8">
                    <c:v>Сумма по полю Стоимость заказа</c:v>
                  </c:pt>
                </c:lvl>
                <c:lvl>
                  <c:pt idx="0">
                    <c:v>АО "Баранки"</c:v>
                  </c:pt>
                  <c:pt idx="3">
                    <c:v>АО "Кленовый лист"</c:v>
                  </c:pt>
                  <c:pt idx="6">
                    <c:v>АО "Ленточка"</c:v>
                  </c:pt>
                </c:lvl>
              </c:multiLvlStrCache>
            </c:multiLvlStrRef>
          </c:cat>
          <c:val>
            <c:numRef>
              <c:f>'Лаб 5 5'!$J$4:$J$18</c:f>
              <c:numCache>
                <c:formatCode>General</c:formatCode>
                <c:ptCount val="9"/>
                <c:pt idx="0">
                  <c:v>13</c:v>
                </c:pt>
                <c:pt idx="1">
                  <c:v>17.55</c:v>
                </c:pt>
                <c:pt idx="2">
                  <c:v>228.15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80-4AE2-BDD7-8E6E13BAFFCC}"/>
            </c:ext>
          </c:extLst>
        </c:ser>
        <c:ser>
          <c:idx val="2"/>
          <c:order val="2"/>
          <c:tx>
            <c:strRef>
              <c:f>'Лаб 5 5'!$K$2:$K$3</c:f>
              <c:strCache>
                <c:ptCount val="1"/>
                <c:pt idx="0">
                  <c:v>Фундук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'Лаб 5 5'!$H$4:$H$18</c:f>
              <c:multiLvlStrCache>
                <c:ptCount val="9"/>
                <c:lvl>
                  <c:pt idx="0">
                    <c:v>Сумма по полю Количество упаковок</c:v>
                  </c:pt>
                  <c:pt idx="1">
                    <c:v>Сумма по полю Цена за</c:v>
                  </c:pt>
                  <c:pt idx="2">
                    <c:v>Сумма по полю Стоимость заказа</c:v>
                  </c:pt>
                  <c:pt idx="3">
                    <c:v>Сумма по полю Количество упаковок</c:v>
                  </c:pt>
                  <c:pt idx="4">
                    <c:v>Сумма по полю Цена за</c:v>
                  </c:pt>
                  <c:pt idx="5">
                    <c:v>Сумма по полю Стоимость заказа</c:v>
                  </c:pt>
                  <c:pt idx="6">
                    <c:v>Сумма по полю Количество упаковок</c:v>
                  </c:pt>
                  <c:pt idx="7">
                    <c:v>Сумма по полю Цена за</c:v>
                  </c:pt>
                  <c:pt idx="8">
                    <c:v>Сумма по полю Стоимость заказа</c:v>
                  </c:pt>
                </c:lvl>
                <c:lvl>
                  <c:pt idx="0">
                    <c:v>АО "Баранки"</c:v>
                  </c:pt>
                  <c:pt idx="3">
                    <c:v>АО "Кленовый лист"</c:v>
                  </c:pt>
                  <c:pt idx="6">
                    <c:v>АО "Ленточка"</c:v>
                  </c:pt>
                </c:lvl>
              </c:multiLvlStrCache>
            </c:multiLvlStrRef>
          </c:cat>
          <c:val>
            <c:numRef>
              <c:f>'Лаб 5 5'!$K$4:$K$18</c:f>
              <c:numCache>
                <c:formatCode>General</c:formatCode>
                <c:ptCount val="9"/>
                <c:pt idx="3">
                  <c:v>22</c:v>
                </c:pt>
                <c:pt idx="4">
                  <c:v>21.25</c:v>
                </c:pt>
                <c:pt idx="5">
                  <c:v>467.5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80-4AE2-BDD7-8E6E13BAF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732872"/>
        <c:axId val="354730912"/>
      </c:barChart>
      <c:catAx>
        <c:axId val="354732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730912"/>
        <c:crosses val="autoZero"/>
        <c:auto val="1"/>
        <c:lblAlgn val="ctr"/>
        <c:lblOffset val="100"/>
        <c:noMultiLvlLbl val="0"/>
      </c:catAx>
      <c:valAx>
        <c:axId val="3547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73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EXCEL.xlsx]Лаб 5 Main!СводнаяТаблица7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'Лаб 5 Main'!$K$16</c:f>
              <c:strCache>
                <c:ptCount val="1"/>
                <c:pt idx="0">
                  <c:v>Минимум по полю Количество упаковок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'Лаб 5 Main'!$J$17:$J$26</c:f>
              <c:multiLvlStrCache>
                <c:ptCount val="6"/>
                <c:lvl>
                  <c:pt idx="0">
                    <c:v>Орех миндальный</c:v>
                  </c:pt>
                  <c:pt idx="1">
                    <c:v>Орех грецкий</c:v>
                  </c:pt>
                  <c:pt idx="2">
                    <c:v>Набор специй № 1</c:v>
                  </c:pt>
                  <c:pt idx="3">
                    <c:v>Набор специй № 2</c:v>
                  </c:pt>
                  <c:pt idx="4">
                    <c:v>Набор специй № 3</c:v>
                  </c:pt>
                  <c:pt idx="5">
                    <c:v>Орех грецкий</c:v>
                  </c:pt>
                </c:lvl>
                <c:lvl>
                  <c:pt idx="0">
                    <c:v>Кафе "Победа"</c:v>
                  </c:pt>
                  <c:pt idx="1">
                    <c:v>Кафе "Родничок"</c:v>
                  </c:pt>
                  <c:pt idx="2">
                    <c:v>Кафе "Синий закат"</c:v>
                  </c:pt>
                  <c:pt idx="4">
                    <c:v>Кафе "Ураган"</c:v>
                  </c:pt>
                </c:lvl>
              </c:multiLvlStrCache>
            </c:multiLvlStrRef>
          </c:cat>
          <c:val>
            <c:numRef>
              <c:f>'Лаб 5 Main'!$K$17:$K$26</c:f>
              <c:numCache>
                <c:formatCode>0.00</c:formatCode>
                <c:ptCount val="6"/>
                <c:pt idx="0">
                  <c:v>11</c:v>
                </c:pt>
                <c:pt idx="1">
                  <c:v>10</c:v>
                </c:pt>
                <c:pt idx="2">
                  <c:v>45</c:v>
                </c:pt>
                <c:pt idx="3">
                  <c:v>42</c:v>
                </c:pt>
                <c:pt idx="4">
                  <c:v>60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8-49E8-BF01-79932C85C963}"/>
            </c:ext>
          </c:extLst>
        </c:ser>
        <c:ser>
          <c:idx val="1"/>
          <c:order val="1"/>
          <c:tx>
            <c:strRef>
              <c:f>'Лаб 5 Main'!$L$16</c:f>
              <c:strCache>
                <c:ptCount val="1"/>
                <c:pt idx="0">
                  <c:v>Среднее по полю Цена за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'Лаб 5 Main'!$J$17:$J$26</c:f>
              <c:multiLvlStrCache>
                <c:ptCount val="6"/>
                <c:lvl>
                  <c:pt idx="0">
                    <c:v>Орех миндальный</c:v>
                  </c:pt>
                  <c:pt idx="1">
                    <c:v>Орех грецкий</c:v>
                  </c:pt>
                  <c:pt idx="2">
                    <c:v>Набор специй № 1</c:v>
                  </c:pt>
                  <c:pt idx="3">
                    <c:v>Набор специй № 2</c:v>
                  </c:pt>
                  <c:pt idx="4">
                    <c:v>Набор специй № 3</c:v>
                  </c:pt>
                  <c:pt idx="5">
                    <c:v>Орех грецкий</c:v>
                  </c:pt>
                </c:lvl>
                <c:lvl>
                  <c:pt idx="0">
                    <c:v>Кафе "Победа"</c:v>
                  </c:pt>
                  <c:pt idx="1">
                    <c:v>Кафе "Родничок"</c:v>
                  </c:pt>
                  <c:pt idx="2">
                    <c:v>Кафе "Синий закат"</c:v>
                  </c:pt>
                  <c:pt idx="4">
                    <c:v>Кафе "Ураган"</c:v>
                  </c:pt>
                </c:lvl>
              </c:multiLvlStrCache>
            </c:multiLvlStrRef>
          </c:cat>
          <c:val>
            <c:numRef>
              <c:f>'Лаб 5 Main'!$L$17:$L$26</c:f>
              <c:numCache>
                <c:formatCode>0.00</c:formatCode>
                <c:ptCount val="6"/>
                <c:pt idx="0">
                  <c:v>17.55</c:v>
                </c:pt>
                <c:pt idx="1">
                  <c:v>15.95</c:v>
                </c:pt>
                <c:pt idx="2">
                  <c:v>22.2</c:v>
                </c:pt>
                <c:pt idx="3">
                  <c:v>24</c:v>
                </c:pt>
                <c:pt idx="4">
                  <c:v>32.700000000000003</c:v>
                </c:pt>
                <c:pt idx="5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98-49E8-BF01-79932C85C963}"/>
            </c:ext>
          </c:extLst>
        </c:ser>
        <c:ser>
          <c:idx val="2"/>
          <c:order val="2"/>
          <c:tx>
            <c:strRef>
              <c:f>'Лаб 5 Main'!$M$16</c:f>
              <c:strCache>
                <c:ptCount val="1"/>
                <c:pt idx="0">
                  <c:v>Максимум по полю Стоимость заказа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'Лаб 5 Main'!$J$17:$J$26</c:f>
              <c:multiLvlStrCache>
                <c:ptCount val="6"/>
                <c:lvl>
                  <c:pt idx="0">
                    <c:v>Орех миндальный</c:v>
                  </c:pt>
                  <c:pt idx="1">
                    <c:v>Орех грецкий</c:v>
                  </c:pt>
                  <c:pt idx="2">
                    <c:v>Набор специй № 1</c:v>
                  </c:pt>
                  <c:pt idx="3">
                    <c:v>Набор специй № 2</c:v>
                  </c:pt>
                  <c:pt idx="4">
                    <c:v>Набор специй № 3</c:v>
                  </c:pt>
                  <c:pt idx="5">
                    <c:v>Орех грецкий</c:v>
                  </c:pt>
                </c:lvl>
                <c:lvl>
                  <c:pt idx="0">
                    <c:v>Кафе "Победа"</c:v>
                  </c:pt>
                  <c:pt idx="1">
                    <c:v>Кафе "Родничок"</c:v>
                  </c:pt>
                  <c:pt idx="2">
                    <c:v>Кафе "Синий закат"</c:v>
                  </c:pt>
                  <c:pt idx="4">
                    <c:v>Кафе "Ураган"</c:v>
                  </c:pt>
                </c:lvl>
              </c:multiLvlStrCache>
            </c:multiLvlStrRef>
          </c:cat>
          <c:val>
            <c:numRef>
              <c:f>'Лаб 5 Main'!$M$17:$M$26</c:f>
              <c:numCache>
                <c:formatCode>0.00</c:formatCode>
                <c:ptCount val="6"/>
                <c:pt idx="0">
                  <c:v>193.05</c:v>
                </c:pt>
                <c:pt idx="1">
                  <c:v>159.5</c:v>
                </c:pt>
                <c:pt idx="2">
                  <c:v>999</c:v>
                </c:pt>
                <c:pt idx="3">
                  <c:v>1008</c:v>
                </c:pt>
                <c:pt idx="4">
                  <c:v>1962.0000000000002</c:v>
                </c:pt>
                <c:pt idx="5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98-49E8-BF01-79932C85C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733264"/>
        <c:axId val="354731304"/>
      </c:barChart>
      <c:catAx>
        <c:axId val="3547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731304"/>
        <c:crosses val="autoZero"/>
        <c:auto val="1"/>
        <c:lblAlgn val="ctr"/>
        <c:lblOffset val="100"/>
        <c:noMultiLvlLbl val="0"/>
      </c:catAx>
      <c:valAx>
        <c:axId val="35473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73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397933</xdr:colOff>
      <xdr:row>0</xdr:row>
      <xdr:rowOff>127000</xdr:rowOff>
    </xdr:from>
    <xdr:to>
      <xdr:col>10</xdr:col>
      <xdr:colOff>177654</xdr:colOff>
      <xdr:row>6</xdr:row>
      <xdr:rowOff>92381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5D7FD00-6CE1-593F-2238-BBB4165B6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5733" y="127000"/>
          <a:ext cx="4656521" cy="10829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146795</xdr:rowOff>
    </xdr:from>
    <xdr:to>
      <xdr:col>5</xdr:col>
      <xdr:colOff>661147</xdr:colOff>
      <xdr:row>36</xdr:row>
      <xdr:rowOff>21289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637934</xdr:colOff>
      <xdr:row>20</xdr:row>
      <xdr:rowOff>105976</xdr:rowOff>
    </xdr:from>
    <xdr:to>
      <xdr:col>12</xdr:col>
      <xdr:colOff>425022</xdr:colOff>
      <xdr:row>35</xdr:row>
      <xdr:rowOff>157362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166006</xdr:rowOff>
    </xdr:from>
    <xdr:to>
      <xdr:col>5</xdr:col>
      <xdr:colOff>644338</xdr:colOff>
      <xdr:row>52</xdr:row>
      <xdr:rowOff>42901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535480</xdr:colOff>
      <xdr:row>1</xdr:row>
      <xdr:rowOff>45943</xdr:rowOff>
    </xdr:from>
    <xdr:to>
      <xdr:col>20</xdr:col>
      <xdr:colOff>552290</xdr:colOff>
      <xdr:row>23</xdr:row>
      <xdr:rowOff>78441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93649</xdr:colOff>
      <xdr:row>36</xdr:row>
      <xdr:rowOff>158002</xdr:rowOff>
    </xdr:from>
    <xdr:to>
      <xdr:col>12</xdr:col>
      <xdr:colOff>561094</xdr:colOff>
      <xdr:row>52</xdr:row>
      <xdr:rowOff>42100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646338</xdr:colOff>
      <xdr:row>40</xdr:row>
      <xdr:rowOff>23132</xdr:rowOff>
    </xdr:from>
    <xdr:to>
      <xdr:col>19</xdr:col>
      <xdr:colOff>455838</xdr:colOff>
      <xdr:row>55</xdr:row>
      <xdr:rowOff>112939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102053</xdr:colOff>
      <xdr:row>24</xdr:row>
      <xdr:rowOff>23132</xdr:rowOff>
    </xdr:from>
    <xdr:to>
      <xdr:col>19</xdr:col>
      <xdr:colOff>591910</xdr:colOff>
      <xdr:row>39</xdr:row>
      <xdr:rowOff>112939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29308</xdr:colOff>
      <xdr:row>0</xdr:row>
      <xdr:rowOff>0</xdr:rowOff>
    </xdr:from>
    <xdr:to>
      <xdr:col>16</xdr:col>
      <xdr:colOff>622788</xdr:colOff>
      <xdr:row>10</xdr:row>
      <xdr:rowOff>48838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7090BE3-A450-6C61-D0F1-0D48BCBE8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387356</xdr:colOff>
      <xdr:row>8</xdr:row>
      <xdr:rowOff>101600</xdr:rowOff>
    </xdr:from>
    <xdr:to>
      <xdr:col>7</xdr:col>
      <xdr:colOff>82556</xdr:colOff>
      <xdr:row>23</xdr:row>
      <xdr:rowOff>82550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A0278C-3792-6259-ECDA-7F6EF5E5D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494927</xdr:colOff>
      <xdr:row>59</xdr:row>
      <xdr:rowOff>91660</xdr:rowOff>
    </xdr:from>
    <xdr:to>
      <xdr:col>6</xdr:col>
      <xdr:colOff>1430130</xdr:colOff>
      <xdr:row>89</xdr:row>
      <xdr:rowOff>10132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46B3E93-006A-CDE3-BBFA-F6A092595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795070</xdr:colOff>
      <xdr:row>28</xdr:row>
      <xdr:rowOff>238388</xdr:rowOff>
    </xdr:from>
    <xdr:to>
      <xdr:col>12</xdr:col>
      <xdr:colOff>1140352</xdr:colOff>
      <xdr:row>43</xdr:row>
      <xdr:rowOff>137583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 Tigranyan" refreshedDate="45603.416372222222" createdVersion="8" refreshedVersion="8" minRefreshableVersion="3" recordCount="16" xr:uid="{00000000-000A-0000-FFFF-FFFF00000000}">
  <cacheSource type="worksheet">
    <worksheetSource ref="A1:G17" sheet="Лист5"/>
  </cacheSource>
  <cacheFields count="8">
    <cacheField name="Менеджер " numFmtId="0">
      <sharedItems count="3">
        <s v="Иванов"/>
        <s v="Петров"/>
        <s v="Сидоров"/>
      </sharedItems>
    </cacheField>
    <cacheField name="Месяц " numFmtId="0">
      <sharedItems count="5">
        <s v="январь"/>
        <s v="февраль"/>
        <s v="апрель"/>
        <s v="май"/>
        <s v="март"/>
      </sharedItems>
      <fieldGroup par="7"/>
    </cacheField>
    <cacheField name="Продукты " numFmtId="0">
      <sharedItems count="3">
        <s v="мясо"/>
        <s v="рыба"/>
        <s v="молоко"/>
      </sharedItems>
    </cacheField>
    <cacheField name="Доход " numFmtId="0">
      <sharedItems containsSemiMixedTypes="0" containsString="0" containsNumber="1" containsInteger="1" minValue="100" maxValue="300"/>
    </cacheField>
    <cacheField name="Расход " numFmtId="0">
      <sharedItems containsSemiMixedTypes="0" containsString="0" containsNumber="1" containsInteger="1" minValue="20" maxValue="100"/>
    </cacheField>
    <cacheField name="Прибыль " numFmtId="0">
      <sharedItems containsSemiMixedTypes="0" containsString="0" containsNumber="1" containsInteger="1" minValue="50" maxValue="270" count="3">
        <n v="50"/>
        <n v="180"/>
        <n v="270"/>
      </sharedItems>
    </cacheField>
    <cacheField name="Регион " numFmtId="0">
      <sharedItems count="2">
        <s v=" Страны СНГ"/>
        <s v=" Россия"/>
      </sharedItems>
    </cacheField>
    <cacheField name="Месяц 2" numFmtId="0" databaseField="0">
      <fieldGroup base="1">
        <discretePr count="5">
          <x v="0"/>
          <x v="0"/>
          <x v="1"/>
          <x v="1"/>
          <x v="0"/>
        </discretePr>
        <groupItems count="2">
          <s v="Группа1"/>
          <s v="Группа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 Tigranyan" refreshedDate="45603.435969212966" createdVersion="8" refreshedVersion="8" minRefreshableVersion="3" recordCount="28" xr:uid="{00000000-000A-0000-FFFF-FFFF01000000}">
  <cacheSource type="worksheet">
    <worksheetSource ref="A1:B29" sheet="Лаб 5 4"/>
  </cacheSource>
  <cacheFields count="2">
    <cacheField name="Фамилия" numFmtId="0">
      <sharedItems/>
    </cacheField>
    <cacheField name="БАЛЛ" numFmtId="0">
      <sharedItems containsSemiMixedTypes="0" containsString="0" containsNumber="1" containsInteger="1" minValue="0" maxValue="9" count="10">
        <n v="0"/>
        <n v="4"/>
        <n v="6"/>
        <n v="2"/>
        <n v="5"/>
        <n v="9"/>
        <n v="7"/>
        <n v="3"/>
        <n v="1"/>
        <n v="8"/>
      </sharedItems>
      <fieldGroup base="1">
        <rangePr startNum="0" endNum="9" groupInterval="5"/>
        <groupItems count="4">
          <s v="&lt;0"/>
          <s v="0-4"/>
          <s v="5-9"/>
          <s v="&gt;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523" refreshedDate="45608.478077662039" createdVersion="8" refreshedVersion="5" minRefreshableVersion="3" recordCount="52" xr:uid="{00000000-000A-0000-FFFF-FFFF02000000}">
  <cacheSource type="worksheet">
    <worksheetSource ref="A1:F53" sheet="Лаб 5 5"/>
  </cacheSource>
  <cacheFields count="6">
    <cacheField name="Заказ" numFmtId="0">
      <sharedItems containsString="0" containsBlank="1" containsNumber="1" containsInteger="1" minValue="10000" maxValue="10050"/>
    </cacheField>
    <cacheField name="Название получателя" numFmtId="0">
      <sharedItems containsBlank="1" count="36">
        <m/>
        <s v="Кафе &quot;Родничок&quot;"/>
        <s v="Ресторан &quot;Диана&quot;"/>
        <s v="ТОО &quot;Подарок&quot;"/>
        <s v="ТОО &quot;Карпаты&quot;"/>
        <s v="Кафе &quot;Синий закат&quot;"/>
        <s v="Универмаг &quot;Гомель&quot;"/>
        <s v="Гастроном &quot;Варшава&quot;"/>
        <s v="ТОО &quot;Новость&quot;"/>
        <s v="АО &quot;Баранки&quot;"/>
        <s v="Супермаркет &quot;Речицкий&quot;"/>
        <s v="Универмаг &quot;Кавказский&quot;"/>
        <s v="Кафе &quot;Победа&quot;"/>
        <s v="Ресторан &quot;Приморский&quot;"/>
        <s v="Ресторан &quot;Пекин&quot;"/>
        <s v="АО &quot;Ленточка&quot;"/>
        <s v="Бар гостиницы &quot;Турист&quot;"/>
        <s v="Универмаг &quot;Российский&quot;"/>
        <s v="Ресторан &quot;Бангкок&quot;"/>
        <s v="ТОО &quot;Прохлада&quot;"/>
        <s v="Пиццерия &quot;Италия&quot;"/>
        <s v="Кафе &quot;Ураган&quot;"/>
        <s v="Бар гостиницы &quot;Россия&quot;"/>
        <s v="Ресторан &quot;Природа&quot;"/>
        <s v="Ресторан &quot;Украина&quot;"/>
        <s v="Универмаг &quot;Слава&quot;"/>
        <s v="Фирма &quot;Аркада&quot;"/>
        <s v="АО &quot;Кленовый лист&quot;"/>
        <s v="Пиццерия &quot;Славяне&quot;"/>
        <s v="Фирма &quot;Браво&quot;"/>
        <s v="Магазин &quot;Русский лес&quot;"/>
        <s v="Столовая &quot;Серпантин&quot;"/>
        <s v="Фирма &quot;Златоуст&quot;"/>
        <s v="Пиццерия &quot;Неаполь&quot;"/>
        <s v="ТОО &quot;Забота&quot;"/>
        <s v="Бар &quot;Три ступени&quot;"/>
      </sharedItems>
    </cacheField>
    <cacheField name="Наименование товара" numFmtId="0">
      <sharedItems containsBlank="1" count="9">
        <m/>
        <s v="Орех грецкий"/>
        <s v="Орех миндальный"/>
        <s v="Набор специй № 1"/>
        <s v="Набор специй № 2"/>
        <s v="Набор специй № 3"/>
        <s v="Фундук"/>
        <s v="Орех бразильский"/>
        <s v="Кешью"/>
      </sharedItems>
    </cacheField>
    <cacheField name="Количество упаковок" numFmtId="0">
      <sharedItems containsString="0" containsBlank="1" containsNumber="1" containsInteger="1" minValue="8" maxValue="125"/>
    </cacheField>
    <cacheField name="Цена за" numFmtId="0">
      <sharedItems containsMixedTypes="1" containsNumber="1" minValue="11.3" maxValue="49.1"/>
    </cacheField>
    <cacheField name="Стоимость заказа" numFmtId="0">
      <sharedItems containsString="0" containsBlank="1" containsNumber="1" minValue="123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523" refreshedDate="45608.497411342592" createdVersion="5" refreshedVersion="5" minRefreshableVersion="3" recordCount="52" xr:uid="{00000000-000A-0000-FFFF-FFFF03000000}">
  <cacheSource type="worksheet">
    <worksheetSource ref="A1:F53" sheet="Лаб 5 Main"/>
  </cacheSource>
  <cacheFields count="6">
    <cacheField name="Заказ" numFmtId="0">
      <sharedItems containsString="0" containsBlank="1" containsNumber="1" containsInteger="1" minValue="10000" maxValue="10050" count="52">
        <m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</sharedItems>
    </cacheField>
    <cacheField name="Название получателя" numFmtId="0">
      <sharedItems containsBlank="1" count="36">
        <m/>
        <s v="Кафе &quot;Родничок&quot;"/>
        <s v="Ресторан &quot;Диана&quot;"/>
        <s v="ТОО &quot;Подарок&quot;"/>
        <s v="ТОО &quot;Карпаты&quot;"/>
        <s v="Кафе &quot;Синий закат&quot;"/>
        <s v="Универмаг &quot;Гомель&quot;"/>
        <s v="Гастроном &quot;Варшава&quot;"/>
        <s v="ТОО &quot;Новость&quot;"/>
        <s v="АО &quot;Баранки&quot;"/>
        <s v="Супермаркет &quot;Речицкий&quot;"/>
        <s v="Универмаг &quot;Кавказский&quot;"/>
        <s v="Кафе &quot;Победа&quot;"/>
        <s v="Ресторан &quot;Приморский&quot;"/>
        <s v="Ресторан &quot;Пекин&quot;"/>
        <s v="АО &quot;Ленточка&quot;"/>
        <s v="Бар гостиницы &quot;Турист&quot;"/>
        <s v="Универмаг &quot;Российский&quot;"/>
        <s v="Ресторан &quot;Бангкок&quot;"/>
        <s v="ТОО &quot;Прохлада&quot;"/>
        <s v="Пиццерия &quot;Италия&quot;"/>
        <s v="Кафе &quot;Ураган&quot;"/>
        <s v="Бар гостиницы &quot;Россия&quot;"/>
        <s v="Ресторан &quot;Природа&quot;"/>
        <s v="Ресторан &quot;Украина&quot;"/>
        <s v="Универмаг &quot;Слава&quot;"/>
        <s v="Фирма &quot;Аркада&quot;"/>
        <s v="АО &quot;Кленовый лист&quot;"/>
        <s v="Пиццерия &quot;Славяне&quot;"/>
        <s v="Фирма &quot;Браво&quot;"/>
        <s v="Магазин &quot;Русский лес&quot;"/>
        <s v="Столовая &quot;Серпантин&quot;"/>
        <s v="Фирма &quot;Златоуст&quot;"/>
        <s v="Пиццерия &quot;Неаполь&quot;"/>
        <s v="ТОО &quot;Забота&quot;"/>
        <s v="Бар &quot;Три ступени&quot;"/>
      </sharedItems>
    </cacheField>
    <cacheField name="Наименование товара" numFmtId="0">
      <sharedItems containsBlank="1" count="9">
        <m/>
        <s v="Орех грецкий"/>
        <s v="Орех миндальный"/>
        <s v="Набор специй № 1"/>
        <s v="Набор специй № 2"/>
        <s v="Набор специй № 3"/>
        <s v="Фундук"/>
        <s v="Орех бразильский"/>
        <s v="Кешью"/>
      </sharedItems>
    </cacheField>
    <cacheField name="Количество упаковок" numFmtId="0">
      <sharedItems containsString="0" containsBlank="1" containsNumber="1" containsInteger="1" minValue="8" maxValue="125" count="33">
        <m/>
        <n v="10"/>
        <n v="47"/>
        <n v="13"/>
        <n v="45"/>
        <n v="35"/>
        <n v="125"/>
        <n v="11"/>
        <n v="37"/>
        <n v="23"/>
        <n v="15"/>
        <n v="44"/>
        <n v="18"/>
        <n v="30"/>
        <n v="48"/>
        <n v="46"/>
        <n v="26"/>
        <n v="16"/>
        <n v="14"/>
        <n v="12"/>
        <n v="22"/>
        <n v="42"/>
        <n v="17"/>
        <n v="34"/>
        <n v="64"/>
        <n v="8"/>
        <n v="90"/>
        <n v="68"/>
        <n v="60"/>
        <n v="32"/>
        <n v="53"/>
        <n v="88"/>
        <n v="50"/>
      </sharedItems>
    </cacheField>
    <cacheField name="Цена за" numFmtId="0">
      <sharedItems containsMixedTypes="1" containsNumber="1" minValue="11.3" maxValue="49.1" count="27">
        <s v="упаковку"/>
        <n v="15.95"/>
        <n v="17.55"/>
        <n v="22.2"/>
        <n v="26"/>
        <n v="25"/>
        <n v="31"/>
        <n v="23.5"/>
        <n v="33.4"/>
        <n v="34.1"/>
        <n v="25.5"/>
        <n v="21.75"/>
        <n v="48.2"/>
        <n v="12.1"/>
        <n v="49.1"/>
        <n v="15.5"/>
        <n v="12.3"/>
        <n v="22.9"/>
        <n v="21.25"/>
        <n v="24"/>
        <n v="46.7"/>
        <n v="11.3"/>
        <n v="32.700000000000003"/>
        <n v="11.9"/>
        <n v="11.5"/>
        <n v="44"/>
        <n v="14.95"/>
      </sharedItems>
    </cacheField>
    <cacheField name="Стоимость заказа" numFmtId="0">
      <sharedItems containsString="0" containsBlank="1" containsNumber="1" minValue="123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100"/>
    <n v="50"/>
    <x v="0"/>
    <x v="0"/>
  </r>
  <r>
    <x v="0"/>
    <x v="1"/>
    <x v="0"/>
    <n v="100"/>
    <n v="50"/>
    <x v="0"/>
    <x v="1"/>
  </r>
  <r>
    <x v="0"/>
    <x v="1"/>
    <x v="0"/>
    <n v="100"/>
    <n v="50"/>
    <x v="0"/>
    <x v="1"/>
  </r>
  <r>
    <x v="0"/>
    <x v="2"/>
    <x v="0"/>
    <n v="100"/>
    <n v="50"/>
    <x v="0"/>
    <x v="1"/>
  </r>
  <r>
    <x v="0"/>
    <x v="2"/>
    <x v="0"/>
    <n v="100"/>
    <n v="50"/>
    <x v="0"/>
    <x v="1"/>
  </r>
  <r>
    <x v="1"/>
    <x v="0"/>
    <x v="0"/>
    <n v="100"/>
    <n v="50"/>
    <x v="0"/>
    <x v="0"/>
  </r>
  <r>
    <x v="1"/>
    <x v="1"/>
    <x v="0"/>
    <n v="100"/>
    <n v="50"/>
    <x v="0"/>
    <x v="0"/>
  </r>
  <r>
    <x v="1"/>
    <x v="1"/>
    <x v="0"/>
    <n v="100"/>
    <n v="50"/>
    <x v="0"/>
    <x v="0"/>
  </r>
  <r>
    <x v="1"/>
    <x v="2"/>
    <x v="0"/>
    <n v="100"/>
    <n v="50"/>
    <x v="0"/>
    <x v="0"/>
  </r>
  <r>
    <x v="1"/>
    <x v="2"/>
    <x v="0"/>
    <n v="100"/>
    <n v="50"/>
    <x v="0"/>
    <x v="0"/>
  </r>
  <r>
    <x v="2"/>
    <x v="3"/>
    <x v="1"/>
    <n v="100"/>
    <n v="50"/>
    <x v="0"/>
    <x v="0"/>
  </r>
  <r>
    <x v="2"/>
    <x v="0"/>
    <x v="1"/>
    <n v="100"/>
    <n v="50"/>
    <x v="0"/>
    <x v="1"/>
  </r>
  <r>
    <x v="0"/>
    <x v="1"/>
    <x v="1"/>
    <n v="100"/>
    <n v="50"/>
    <x v="0"/>
    <x v="1"/>
  </r>
  <r>
    <x v="0"/>
    <x v="4"/>
    <x v="2"/>
    <n v="200"/>
    <n v="20"/>
    <x v="1"/>
    <x v="1"/>
  </r>
  <r>
    <x v="1"/>
    <x v="4"/>
    <x v="2"/>
    <n v="300"/>
    <n v="30"/>
    <x v="2"/>
    <x v="0"/>
  </r>
  <r>
    <x v="2"/>
    <x v="4"/>
    <x v="2"/>
    <n v="150"/>
    <n v="10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Тигр"/>
    <x v="0"/>
  </r>
  <r>
    <s v="Петров"/>
    <x v="1"/>
  </r>
  <r>
    <s v="Пупа"/>
    <x v="2"/>
  </r>
  <r>
    <s v="Петров"/>
    <x v="3"/>
  </r>
  <r>
    <s v="Лупа"/>
    <x v="4"/>
  </r>
  <r>
    <s v="Андрей"/>
    <x v="5"/>
  </r>
  <r>
    <s v="Губка"/>
    <x v="6"/>
  </r>
  <r>
    <s v="Гейрасим"/>
    <x v="4"/>
  </r>
  <r>
    <s v="Конституция"/>
    <x v="1"/>
  </r>
  <r>
    <s v="Россия"/>
    <x v="3"/>
  </r>
  <r>
    <s v="Козлов"/>
    <x v="7"/>
  </r>
  <r>
    <s v="Intel XEON"/>
    <x v="0"/>
  </r>
  <r>
    <s v="Ершова"/>
    <x v="8"/>
  </r>
  <r>
    <s v="Петров"/>
    <x v="4"/>
  </r>
  <r>
    <s v="Сидоров"/>
    <x v="7"/>
  </r>
  <r>
    <s v="Козлов"/>
    <x v="9"/>
  </r>
  <r>
    <s v="Симонова"/>
    <x v="6"/>
  </r>
  <r>
    <s v="Александр"/>
    <x v="4"/>
  </r>
  <r>
    <s v="Денис"/>
    <x v="9"/>
  </r>
  <r>
    <s v="Юлия"/>
    <x v="5"/>
  </r>
  <r>
    <s v="Петр"/>
    <x v="4"/>
  </r>
  <r>
    <s v="Екатерина"/>
    <x v="4"/>
  </r>
  <r>
    <s v="Валентина"/>
    <x v="1"/>
  </r>
  <r>
    <s v="СОСАГЕ"/>
    <x v="6"/>
  </r>
  <r>
    <s v="кЕтчунез"/>
    <x v="7"/>
  </r>
  <r>
    <s v="GOSLING"/>
    <x v="3"/>
  </r>
  <r>
    <s v="Удивление"/>
    <x v="6"/>
  </r>
  <r>
    <s v="Райн Гослинг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2">
  <r>
    <m/>
    <x v="0"/>
    <x v="0"/>
    <m/>
    <s v="упаковку"/>
    <m/>
  </r>
  <r>
    <n v="10000"/>
    <x v="1"/>
    <x v="1"/>
    <n v="10"/>
    <n v="15.95"/>
    <n v="159.5"/>
  </r>
  <r>
    <n v="10001"/>
    <x v="2"/>
    <x v="2"/>
    <n v="10"/>
    <n v="17.55"/>
    <n v="175.5"/>
  </r>
  <r>
    <n v="10002"/>
    <x v="3"/>
    <x v="3"/>
    <n v="47"/>
    <n v="22.2"/>
    <n v="1043.3999999999999"/>
  </r>
  <r>
    <n v="10003"/>
    <x v="4"/>
    <x v="4"/>
    <n v="13"/>
    <n v="26"/>
    <n v="338"/>
  </r>
  <r>
    <n v="10004"/>
    <x v="5"/>
    <x v="3"/>
    <n v="45"/>
    <n v="22.2"/>
    <n v="999"/>
  </r>
  <r>
    <n v="10005"/>
    <x v="6"/>
    <x v="4"/>
    <n v="35"/>
    <n v="25"/>
    <n v="875"/>
  </r>
  <r>
    <n v="10006"/>
    <x v="7"/>
    <x v="5"/>
    <n v="125"/>
    <n v="31"/>
    <n v="3875"/>
  </r>
  <r>
    <n v="10007"/>
    <x v="8"/>
    <x v="3"/>
    <n v="11"/>
    <n v="23.5"/>
    <n v="258.5"/>
  </r>
  <r>
    <n v="10008"/>
    <x v="9"/>
    <x v="2"/>
    <n v="13"/>
    <n v="17.55"/>
    <n v="228.15"/>
  </r>
  <r>
    <n v="10009"/>
    <x v="4"/>
    <x v="5"/>
    <n v="45"/>
    <n v="33.4"/>
    <n v="1503"/>
  </r>
  <r>
    <n v="10010"/>
    <x v="10"/>
    <x v="5"/>
    <n v="37"/>
    <n v="34.1"/>
    <n v="1261.7"/>
  </r>
  <r>
    <n v="10011"/>
    <x v="11"/>
    <x v="4"/>
    <n v="23"/>
    <n v="25.5"/>
    <n v="586.5"/>
  </r>
  <r>
    <n v="10012"/>
    <x v="12"/>
    <x v="2"/>
    <n v="11"/>
    <n v="17.55"/>
    <n v="193.05"/>
  </r>
  <r>
    <n v="10013"/>
    <x v="13"/>
    <x v="6"/>
    <n v="15"/>
    <n v="21.75"/>
    <n v="326.25"/>
  </r>
  <r>
    <n v="10014"/>
    <x v="14"/>
    <x v="7"/>
    <n v="44"/>
    <n v="48.2"/>
    <n v="2120.8000000000002"/>
  </r>
  <r>
    <n v="10015"/>
    <x v="15"/>
    <x v="8"/>
    <n v="18"/>
    <n v="12.1"/>
    <n v="217.79999999999998"/>
  </r>
  <r>
    <n v="10016"/>
    <x v="16"/>
    <x v="6"/>
    <n v="11"/>
    <n v="21.75"/>
    <n v="239.25"/>
  </r>
  <r>
    <n v="10017"/>
    <x v="17"/>
    <x v="4"/>
    <n v="35"/>
    <n v="25"/>
    <n v="875"/>
  </r>
  <r>
    <n v="10018"/>
    <x v="18"/>
    <x v="7"/>
    <n v="30"/>
    <n v="49.1"/>
    <n v="1473"/>
  </r>
  <r>
    <n v="10019"/>
    <x v="19"/>
    <x v="5"/>
    <n v="48"/>
    <n v="33.4"/>
    <n v="1603.1999999999998"/>
  </r>
  <r>
    <n v="10020"/>
    <x v="20"/>
    <x v="7"/>
    <n v="46"/>
    <n v="48.2"/>
    <n v="2217.2000000000003"/>
  </r>
  <r>
    <n v="10021"/>
    <x v="21"/>
    <x v="1"/>
    <n v="26"/>
    <n v="15.5"/>
    <n v="403"/>
  </r>
  <r>
    <n v="10022"/>
    <x v="22"/>
    <x v="8"/>
    <n v="11"/>
    <n v="12.3"/>
    <n v="135.30000000000001"/>
  </r>
  <r>
    <n v="10023"/>
    <x v="22"/>
    <x v="1"/>
    <n v="16"/>
    <n v="15.95"/>
    <n v="255.2"/>
  </r>
  <r>
    <n v="10024"/>
    <x v="19"/>
    <x v="1"/>
    <n v="14"/>
    <n v="15.95"/>
    <n v="223.29999999999998"/>
  </r>
  <r>
    <n v="10025"/>
    <x v="23"/>
    <x v="8"/>
    <n v="10"/>
    <n v="12.3"/>
    <n v="123"/>
  </r>
  <r>
    <n v="10026"/>
    <x v="24"/>
    <x v="3"/>
    <n v="23"/>
    <n v="22.9"/>
    <n v="526.69999999999993"/>
  </r>
  <r>
    <n v="10027"/>
    <x v="25"/>
    <x v="2"/>
    <n v="12"/>
    <n v="17.55"/>
    <n v="210.60000000000002"/>
  </r>
  <r>
    <n v="10028"/>
    <x v="26"/>
    <x v="8"/>
    <n v="14"/>
    <n v="12.3"/>
    <n v="172.20000000000002"/>
  </r>
  <r>
    <n v="10029"/>
    <x v="27"/>
    <x v="6"/>
    <n v="22"/>
    <n v="21.25"/>
    <n v="467.5"/>
  </r>
  <r>
    <n v="10030"/>
    <x v="28"/>
    <x v="2"/>
    <n v="10"/>
    <n v="17.55"/>
    <n v="175.5"/>
  </r>
  <r>
    <n v="10031"/>
    <x v="11"/>
    <x v="5"/>
    <n v="37"/>
    <n v="34.1"/>
    <n v="1261.7"/>
  </r>
  <r>
    <n v="10032"/>
    <x v="5"/>
    <x v="4"/>
    <n v="42"/>
    <n v="24"/>
    <n v="1008"/>
  </r>
  <r>
    <n v="10033"/>
    <x v="29"/>
    <x v="1"/>
    <n v="18"/>
    <n v="15.95"/>
    <n v="287.09999999999997"/>
  </r>
  <r>
    <n v="10034"/>
    <x v="2"/>
    <x v="8"/>
    <n v="12"/>
    <n v="12.3"/>
    <n v="147.60000000000002"/>
  </r>
  <r>
    <n v="10035"/>
    <x v="30"/>
    <x v="6"/>
    <n v="17"/>
    <n v="21.75"/>
    <n v="369.75"/>
  </r>
  <r>
    <n v="10036"/>
    <x v="28"/>
    <x v="4"/>
    <n v="34"/>
    <n v="25"/>
    <n v="850"/>
  </r>
  <r>
    <n v="10037"/>
    <x v="3"/>
    <x v="1"/>
    <n v="12"/>
    <n v="15.95"/>
    <n v="191.39999999999998"/>
  </r>
  <r>
    <n v="10038"/>
    <x v="11"/>
    <x v="7"/>
    <n v="64"/>
    <n v="46.7"/>
    <n v="2988.8"/>
  </r>
  <r>
    <n v="10039"/>
    <x v="23"/>
    <x v="3"/>
    <n v="8"/>
    <n v="24"/>
    <n v="192"/>
  </r>
  <r>
    <n v="10040"/>
    <x v="31"/>
    <x v="7"/>
    <n v="34"/>
    <n v="49.1"/>
    <n v="1669.4"/>
  </r>
  <r>
    <n v="10041"/>
    <x v="24"/>
    <x v="7"/>
    <n v="44"/>
    <n v="48.2"/>
    <n v="2120.8000000000002"/>
  </r>
  <r>
    <n v="10042"/>
    <x v="32"/>
    <x v="8"/>
    <n v="90"/>
    <n v="11.3"/>
    <n v="1017.0000000000001"/>
  </r>
  <r>
    <n v="10043"/>
    <x v="33"/>
    <x v="7"/>
    <n v="68"/>
    <n v="46.7"/>
    <n v="3175.6000000000004"/>
  </r>
  <r>
    <n v="10044"/>
    <x v="21"/>
    <x v="5"/>
    <n v="60"/>
    <n v="32.700000000000003"/>
    <n v="1962.0000000000002"/>
  </r>
  <r>
    <n v="10045"/>
    <x v="25"/>
    <x v="6"/>
    <n v="17"/>
    <n v="21.75"/>
    <n v="369.75"/>
  </r>
  <r>
    <n v="10046"/>
    <x v="3"/>
    <x v="8"/>
    <n v="32"/>
    <n v="11.9"/>
    <n v="380.8"/>
  </r>
  <r>
    <n v="10047"/>
    <x v="20"/>
    <x v="8"/>
    <n v="53"/>
    <n v="11.5"/>
    <n v="609.5"/>
  </r>
  <r>
    <n v="10048"/>
    <x v="34"/>
    <x v="7"/>
    <n v="88"/>
    <n v="44"/>
    <n v="3872"/>
  </r>
  <r>
    <n v="10049"/>
    <x v="6"/>
    <x v="1"/>
    <n v="50"/>
    <n v="14.95"/>
    <n v="747.5"/>
  </r>
  <r>
    <n v="10050"/>
    <x v="35"/>
    <x v="1"/>
    <n v="18"/>
    <n v="15.95"/>
    <n v="287.0999999999999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2">
  <r>
    <x v="0"/>
    <x v="0"/>
    <x v="0"/>
    <x v="0"/>
    <x v="0"/>
    <m/>
  </r>
  <r>
    <x v="1"/>
    <x v="1"/>
    <x v="1"/>
    <x v="1"/>
    <x v="1"/>
    <n v="159.5"/>
  </r>
  <r>
    <x v="2"/>
    <x v="2"/>
    <x v="2"/>
    <x v="1"/>
    <x v="2"/>
    <n v="175.5"/>
  </r>
  <r>
    <x v="3"/>
    <x v="3"/>
    <x v="3"/>
    <x v="2"/>
    <x v="3"/>
    <n v="1043.3999999999999"/>
  </r>
  <r>
    <x v="4"/>
    <x v="4"/>
    <x v="4"/>
    <x v="3"/>
    <x v="4"/>
    <n v="338"/>
  </r>
  <r>
    <x v="5"/>
    <x v="5"/>
    <x v="3"/>
    <x v="4"/>
    <x v="3"/>
    <n v="999"/>
  </r>
  <r>
    <x v="6"/>
    <x v="6"/>
    <x v="4"/>
    <x v="5"/>
    <x v="5"/>
    <n v="875"/>
  </r>
  <r>
    <x v="7"/>
    <x v="7"/>
    <x v="5"/>
    <x v="6"/>
    <x v="6"/>
    <n v="3875"/>
  </r>
  <r>
    <x v="8"/>
    <x v="8"/>
    <x v="3"/>
    <x v="7"/>
    <x v="7"/>
    <n v="258.5"/>
  </r>
  <r>
    <x v="9"/>
    <x v="9"/>
    <x v="2"/>
    <x v="3"/>
    <x v="2"/>
    <n v="228.15"/>
  </r>
  <r>
    <x v="10"/>
    <x v="4"/>
    <x v="5"/>
    <x v="4"/>
    <x v="8"/>
    <n v="1503"/>
  </r>
  <r>
    <x v="11"/>
    <x v="10"/>
    <x v="5"/>
    <x v="8"/>
    <x v="9"/>
    <n v="1261.7"/>
  </r>
  <r>
    <x v="12"/>
    <x v="11"/>
    <x v="4"/>
    <x v="9"/>
    <x v="10"/>
    <n v="586.5"/>
  </r>
  <r>
    <x v="13"/>
    <x v="12"/>
    <x v="2"/>
    <x v="7"/>
    <x v="2"/>
    <n v="193.05"/>
  </r>
  <r>
    <x v="14"/>
    <x v="13"/>
    <x v="6"/>
    <x v="10"/>
    <x v="11"/>
    <n v="326.25"/>
  </r>
  <r>
    <x v="15"/>
    <x v="14"/>
    <x v="7"/>
    <x v="11"/>
    <x v="12"/>
    <n v="2120.8000000000002"/>
  </r>
  <r>
    <x v="16"/>
    <x v="15"/>
    <x v="8"/>
    <x v="12"/>
    <x v="13"/>
    <n v="217.79999999999998"/>
  </r>
  <r>
    <x v="17"/>
    <x v="16"/>
    <x v="6"/>
    <x v="7"/>
    <x v="11"/>
    <n v="239.25"/>
  </r>
  <r>
    <x v="18"/>
    <x v="17"/>
    <x v="4"/>
    <x v="5"/>
    <x v="5"/>
    <n v="875"/>
  </r>
  <r>
    <x v="19"/>
    <x v="18"/>
    <x v="7"/>
    <x v="13"/>
    <x v="14"/>
    <n v="1473"/>
  </r>
  <r>
    <x v="20"/>
    <x v="19"/>
    <x v="5"/>
    <x v="14"/>
    <x v="8"/>
    <n v="1603.1999999999998"/>
  </r>
  <r>
    <x v="21"/>
    <x v="20"/>
    <x v="7"/>
    <x v="15"/>
    <x v="12"/>
    <n v="2217.2000000000003"/>
  </r>
  <r>
    <x v="22"/>
    <x v="21"/>
    <x v="1"/>
    <x v="16"/>
    <x v="15"/>
    <n v="403"/>
  </r>
  <r>
    <x v="23"/>
    <x v="22"/>
    <x v="8"/>
    <x v="7"/>
    <x v="16"/>
    <n v="135.30000000000001"/>
  </r>
  <r>
    <x v="24"/>
    <x v="22"/>
    <x v="1"/>
    <x v="17"/>
    <x v="1"/>
    <n v="255.2"/>
  </r>
  <r>
    <x v="25"/>
    <x v="19"/>
    <x v="1"/>
    <x v="18"/>
    <x v="1"/>
    <n v="223.29999999999998"/>
  </r>
  <r>
    <x v="26"/>
    <x v="23"/>
    <x v="8"/>
    <x v="1"/>
    <x v="16"/>
    <n v="123"/>
  </r>
  <r>
    <x v="27"/>
    <x v="24"/>
    <x v="3"/>
    <x v="9"/>
    <x v="17"/>
    <n v="526.69999999999993"/>
  </r>
  <r>
    <x v="28"/>
    <x v="25"/>
    <x v="2"/>
    <x v="19"/>
    <x v="2"/>
    <n v="210.60000000000002"/>
  </r>
  <r>
    <x v="29"/>
    <x v="26"/>
    <x v="8"/>
    <x v="18"/>
    <x v="16"/>
    <n v="172.20000000000002"/>
  </r>
  <r>
    <x v="30"/>
    <x v="27"/>
    <x v="6"/>
    <x v="20"/>
    <x v="18"/>
    <n v="467.5"/>
  </r>
  <r>
    <x v="31"/>
    <x v="28"/>
    <x v="2"/>
    <x v="1"/>
    <x v="2"/>
    <n v="175.5"/>
  </r>
  <r>
    <x v="32"/>
    <x v="11"/>
    <x v="5"/>
    <x v="8"/>
    <x v="9"/>
    <n v="1261.7"/>
  </r>
  <r>
    <x v="33"/>
    <x v="5"/>
    <x v="4"/>
    <x v="21"/>
    <x v="19"/>
    <n v="1008"/>
  </r>
  <r>
    <x v="34"/>
    <x v="29"/>
    <x v="1"/>
    <x v="12"/>
    <x v="1"/>
    <n v="287.09999999999997"/>
  </r>
  <r>
    <x v="35"/>
    <x v="2"/>
    <x v="8"/>
    <x v="19"/>
    <x v="16"/>
    <n v="147.60000000000002"/>
  </r>
  <r>
    <x v="36"/>
    <x v="30"/>
    <x v="6"/>
    <x v="22"/>
    <x v="11"/>
    <n v="369.75"/>
  </r>
  <r>
    <x v="37"/>
    <x v="28"/>
    <x v="4"/>
    <x v="23"/>
    <x v="5"/>
    <n v="850"/>
  </r>
  <r>
    <x v="38"/>
    <x v="3"/>
    <x v="1"/>
    <x v="19"/>
    <x v="1"/>
    <n v="191.39999999999998"/>
  </r>
  <r>
    <x v="39"/>
    <x v="11"/>
    <x v="7"/>
    <x v="24"/>
    <x v="20"/>
    <n v="2988.8"/>
  </r>
  <r>
    <x v="40"/>
    <x v="23"/>
    <x v="3"/>
    <x v="25"/>
    <x v="19"/>
    <n v="192"/>
  </r>
  <r>
    <x v="41"/>
    <x v="31"/>
    <x v="7"/>
    <x v="23"/>
    <x v="14"/>
    <n v="1669.4"/>
  </r>
  <r>
    <x v="42"/>
    <x v="24"/>
    <x v="7"/>
    <x v="11"/>
    <x v="12"/>
    <n v="2120.8000000000002"/>
  </r>
  <r>
    <x v="43"/>
    <x v="32"/>
    <x v="8"/>
    <x v="26"/>
    <x v="21"/>
    <n v="1017.0000000000001"/>
  </r>
  <r>
    <x v="44"/>
    <x v="33"/>
    <x v="7"/>
    <x v="27"/>
    <x v="20"/>
    <n v="3175.6000000000004"/>
  </r>
  <r>
    <x v="45"/>
    <x v="21"/>
    <x v="5"/>
    <x v="28"/>
    <x v="22"/>
    <n v="1962.0000000000002"/>
  </r>
  <r>
    <x v="46"/>
    <x v="25"/>
    <x v="6"/>
    <x v="22"/>
    <x v="11"/>
    <n v="369.75"/>
  </r>
  <r>
    <x v="47"/>
    <x v="3"/>
    <x v="8"/>
    <x v="29"/>
    <x v="23"/>
    <n v="380.8"/>
  </r>
  <r>
    <x v="48"/>
    <x v="20"/>
    <x v="8"/>
    <x v="30"/>
    <x v="24"/>
    <n v="609.5"/>
  </r>
  <r>
    <x v="49"/>
    <x v="34"/>
    <x v="7"/>
    <x v="31"/>
    <x v="25"/>
    <n v="3872"/>
  </r>
  <r>
    <x v="50"/>
    <x v="6"/>
    <x v="1"/>
    <x v="32"/>
    <x v="26"/>
    <n v="747.5"/>
  </r>
  <r>
    <x v="51"/>
    <x v="35"/>
    <x v="1"/>
    <x v="12"/>
    <x v="1"/>
    <n v="287.09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Сводная таблица2" cacheId="0" applyNumberFormats="0" applyBorderFormats="0" applyFontFormats="0" applyPatternFormats="0" applyAlignmentFormats="0" applyWidthHeightFormats="1" dataCaption="Значения" updatedVersion="5" minRefreshableVersion="3" useAutoFormatting="1" rowGrandTotals="0" itemPrintTitles="1" createdVersion="8" indent="0" compact="0" compactData="0" multipleFieldFilters="0" rowHeaderCaption="Продукты" colHeaderCaption="Месяц">
  <location ref="I4:P15" firstHeaderRow="1" firstDataRow="2" firstDataCol="2" rowPageCount="1" colPageCount="1"/>
  <pivotFields count="8"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6">
        <item x="0"/>
        <item x="1"/>
        <item x="4"/>
        <item x="2"/>
        <item x="3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2">
    <field x="2"/>
    <field x="0"/>
  </rowFields>
  <rowItems count="10">
    <i>
      <x/>
      <x/>
    </i>
    <i r="1">
      <x v="1"/>
    </i>
    <i r="1">
      <x v="2"/>
    </i>
    <i t="default">
      <x/>
    </i>
    <i>
      <x v="1"/>
      <x/>
    </i>
    <i r="1">
      <x v="1"/>
    </i>
    <i t="default">
      <x v="1"/>
    </i>
    <i>
      <x v="2"/>
      <x/>
    </i>
    <i r="1">
      <x v="2"/>
    </i>
    <i t="default">
      <x v="2"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Сумма по полю Прибыль " fld="5" baseField="0" baseItem="0"/>
  </dataFields>
  <formats count="1">
    <format dxfId="25">
      <pivotArea field="1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1000000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Продукты" colHeaderCaption="Месяц">
  <location ref="A3:D15" firstHeaderRow="1" firstDataRow="2" firstDataCol="1" rowPageCount="1" colPageCount="1"/>
  <pivotFields count="8">
    <pivotField axis="axisRow" showAll="0">
      <items count="4">
        <item x="0"/>
        <item x="1"/>
        <item x="2"/>
        <item t="default"/>
      </items>
    </pivotField>
    <pivotField showAll="0">
      <items count="6">
        <item x="0"/>
        <item x="1"/>
        <item x="4"/>
        <item x="2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name="Квартал" axis="axisCol" showAll="0">
      <items count="3">
        <item n="Первый" x="0"/>
        <item n="Второй" x="1"/>
        <item t="default"/>
      </items>
    </pivotField>
  </pivotFields>
  <rowFields count="2">
    <field x="2"/>
    <field x="0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>
      <x v="2"/>
    </i>
    <i r="1">
      <x/>
    </i>
    <i r="1">
      <x v="2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6" hier="-1"/>
  </pageFields>
  <dataFields count="1">
    <dataField name="Сумма по полю Прибыль " fld="5" baseField="0" baseItem="0"/>
  </dataFields>
  <formats count="1">
    <format dxfId="24">
      <pivotArea field="1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2000000}" name="Сводная таблица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Продукты" colHeaderCaption="Месяц">
  <location ref="A3:G15" firstHeaderRow="1" firstDataRow="2" firstDataCol="1" rowPageCount="1" colPageCount="1"/>
  <pivotFields count="8">
    <pivotField axis="axisRow" showAll="0">
      <items count="4">
        <item x="0"/>
        <item x="1"/>
        <item x="2"/>
        <item t="default"/>
      </items>
    </pivotField>
    <pivotField axis="axisCol" showAll="0">
      <items count="6">
        <item x="0"/>
        <item x="1"/>
        <item x="4"/>
        <item x="2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Fields count="2">
    <field x="2"/>
    <field x="0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>
      <x v="2"/>
    </i>
    <i r="1">
      <x/>
    </i>
    <i r="1"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Сумма по полю Прибыль " fld="5" baseField="0" baseItem="0"/>
  </dataFields>
  <formats count="1">
    <format dxfId="23">
      <pivotArea field="1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3000000}" name="Сводная таблица6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D3:E6" firstHeaderRow="1" firstDataRow="1" firstDataCol="1"/>
  <pivotFields count="2"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3">
    <i>
      <x v="1"/>
    </i>
    <i>
      <x v="2"/>
    </i>
    <i t="grand">
      <x/>
    </i>
  </rowItems>
  <colItems count="1">
    <i/>
  </colItems>
  <dataFields count="1">
    <dataField name="Количество по полю Фамилия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4000000}" name="Сводная таблица7" cacheId="2" dataOnRows="1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8" indent="0" outline="1" outlineData="1" multipleFieldFilters="0" chartFormat="5">
  <location ref="H2:L18" firstHeaderRow="1" firstDataRow="2" firstDataCol="1"/>
  <pivotFields count="6">
    <pivotField showAll="0"/>
    <pivotField axis="axisRow" showAll="0">
      <items count="37">
        <item x="9"/>
        <item x="27"/>
        <item x="15"/>
        <item x="35"/>
        <item x="22"/>
        <item x="16"/>
        <item x="7"/>
        <item x="12"/>
        <item x="1"/>
        <item x="5"/>
        <item x="21"/>
        <item x="30"/>
        <item x="20"/>
        <item x="33"/>
        <item x="28"/>
        <item x="18"/>
        <item x="2"/>
        <item x="14"/>
        <item x="13"/>
        <item x="23"/>
        <item x="24"/>
        <item x="31"/>
        <item x="10"/>
        <item x="34"/>
        <item x="4"/>
        <item x="8"/>
        <item x="3"/>
        <item x="19"/>
        <item x="6"/>
        <item x="11"/>
        <item x="17"/>
        <item x="25"/>
        <item x="26"/>
        <item x="29"/>
        <item x="32"/>
        <item x="0"/>
        <item t="default"/>
      </items>
    </pivotField>
    <pivotField axis="axisCol" showAll="0">
      <items count="10">
        <item x="8"/>
        <item x="3"/>
        <item x="4"/>
        <item x="5"/>
        <item x="7"/>
        <item x="1"/>
        <item x="2"/>
        <item x="6"/>
        <item x="0"/>
        <item t="default"/>
      </items>
    </pivotField>
    <pivotField dataField="1" showAll="0"/>
    <pivotField dataField="1" showAll="0"/>
    <pivotField dataField="1" showAll="0"/>
  </pivotFields>
  <rowFields count="2">
    <field x="1"/>
    <field x="-2"/>
  </rowFields>
  <rowItems count="15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2"/>
  </colFields>
  <colItems count="4">
    <i>
      <x/>
    </i>
    <i>
      <x v="6"/>
    </i>
    <i>
      <x v="7"/>
    </i>
    <i t="grand">
      <x/>
    </i>
  </colItems>
  <dataFields count="3">
    <dataField name="Сумма по полю Количество упаковок" fld="3" baseField="0" baseItem="0"/>
    <dataField name="Сумма по полю Цена за" fld="4" baseField="1" baseItem="0"/>
    <dataField name="Сумма по полю Стоимость заказа" fld="5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BeginsWith" evalOrder="-1" id="1" stringValue1="АО">
      <autoFilter ref="A1">
        <filterColumn colId="0">
          <customFilters>
            <customFilter val="А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5000000}" name="СводнаяТаблица7" cacheId="3" applyNumberFormats="0" applyBorderFormats="0" applyFontFormats="0" applyPatternFormats="0" applyAlignmentFormats="0" applyWidthHeightFormats="1" dataCaption="Значения" updatedVersion="5" minRefreshableVersion="3" useAutoFormatting="1" rowGrandTotals="0" itemPrintTitles="1" createdVersion="5" indent="0" outline="1" outlineData="1" multipleFieldFilters="0" chartFormat="9">
  <location ref="J16:M26" firstHeaderRow="0" firstDataRow="1" firstDataCol="1"/>
  <pivotFields count="6">
    <pivotField showAll="0"/>
    <pivotField axis="axisRow" showAll="0">
      <items count="37">
        <item x="9"/>
        <item x="27"/>
        <item x="15"/>
        <item x="35"/>
        <item x="22"/>
        <item x="16"/>
        <item x="7"/>
        <item x="12"/>
        <item x="1"/>
        <item x="5"/>
        <item x="21"/>
        <item x="30"/>
        <item x="20"/>
        <item x="33"/>
        <item x="28"/>
        <item x="18"/>
        <item x="2"/>
        <item x="14"/>
        <item x="13"/>
        <item x="23"/>
        <item x="24"/>
        <item x="31"/>
        <item x="10"/>
        <item x="34"/>
        <item x="4"/>
        <item x="8"/>
        <item x="3"/>
        <item x="19"/>
        <item x="6"/>
        <item x="11"/>
        <item x="17"/>
        <item x="25"/>
        <item x="26"/>
        <item x="29"/>
        <item x="32"/>
        <item x="0"/>
        <item t="default"/>
      </items>
    </pivotField>
    <pivotField axis="axisRow" showAll="0">
      <items count="10">
        <item x="8"/>
        <item x="3"/>
        <item x="4"/>
        <item x="5"/>
        <item x="7"/>
        <item x="1"/>
        <item x="2"/>
        <item x="6"/>
        <item x="0"/>
        <item t="default"/>
      </items>
    </pivotField>
    <pivotField dataField="1" showAll="0"/>
    <pivotField dataField="1" showAll="0"/>
    <pivotField dataField="1" showAll="0"/>
  </pivotFields>
  <rowFields count="2">
    <field x="1"/>
    <field x="2"/>
  </rowFields>
  <rowItems count="10">
    <i>
      <x v="7"/>
    </i>
    <i r="1">
      <x v="6"/>
    </i>
    <i>
      <x v="8"/>
    </i>
    <i r="1">
      <x v="5"/>
    </i>
    <i>
      <x v="9"/>
    </i>
    <i r="1">
      <x v="1"/>
    </i>
    <i r="1">
      <x v="2"/>
    </i>
    <i>
      <x v="10"/>
    </i>
    <i r="1">
      <x v="3"/>
    </i>
    <i r="1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Минимум по полю Количество упаковок" fld="3" subtotal="min" baseField="1" baseItem="7"/>
    <dataField name="Среднее по полю Цена за" fld="4" subtotal="average" baseField="1" baseItem="7"/>
    <dataField name="Максимум по полю Стоимость заказа" fld="5" subtotal="max" baseField="1" baseItem="7"/>
  </dataFields>
  <formats count="23">
    <format dxfId="22">
      <pivotArea field="2" dataOnly="0" labelOnly="1" outline="0" axis="axisRow" fieldPosition="1">
        <references count="1">
          <reference field="4294967294" count="1" selected="0">
            <x v="0"/>
          </reference>
        </references>
      </pivotArea>
    </format>
    <format dxfId="21">
      <pivotArea field="2" dataOnly="0" labelOnly="1" outline="0" axis="axisRow" fieldPosition="1">
        <references count="1">
          <reference field="4294967294" count="1" selected="0">
            <x v="1"/>
          </reference>
        </references>
      </pivotArea>
    </format>
    <format dxfId="20">
      <pivotArea field="2" dataOnly="0" labelOnly="1" outline="0" axis="axisRow" fieldPosition="1">
        <references count="1">
          <reference field="4294967294" count="1" selected="0">
            <x v="2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1" count="4">
            <x v="7"/>
            <x v="8"/>
            <x v="9"/>
            <x v="10"/>
          </reference>
        </references>
      </pivotArea>
    </format>
    <format dxfId="16">
      <pivotArea dataOnly="0" labelOnly="1" grandRow="1" outline="0" fieldPosition="0"/>
    </format>
    <format dxfId="15">
      <pivotArea field="2" dataOnly="0" labelOnly="1" outline="0" axis="axisRow" fieldPosition="1">
        <references count="1">
          <reference field="4294967294" count="1" selected="0">
            <x v="0"/>
          </reference>
        </references>
      </pivotArea>
    </format>
    <format dxfId="14">
      <pivotArea field="2" dataOnly="0" labelOnly="1" outline="0" axis="axisRow" fieldPosition="1">
        <references count="1">
          <reference field="4294967294" count="1" selected="0">
            <x v="1"/>
          </reference>
        </references>
      </pivotArea>
    </format>
    <format dxfId="13">
      <pivotArea field="2" dataOnly="0" labelOnly="1" outline="0" axis="axisRow" fieldPosition="1">
        <references count="1">
          <reference field="4294967294" count="1" selected="0">
            <x v="2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1" count="4">
            <x v="7"/>
            <x v="8"/>
            <x v="9"/>
            <x v="10"/>
          </reference>
        </references>
      </pivotArea>
    </format>
    <format dxfId="9">
      <pivotArea dataOnly="0" labelOnly="1" grandRow="1" outline="0" fieldPosition="0"/>
    </format>
    <format dxfId="8">
      <pivotArea field="2" dataOnly="0" labelOnly="1" outline="0" axis="axisRow" fieldPosition="1">
        <references count="1">
          <reference field="4294967294" count="1" selected="0">
            <x v="0"/>
          </reference>
        </references>
      </pivotArea>
    </format>
    <format dxfId="7">
      <pivotArea field="2" dataOnly="0" labelOnly="1" outline="0" axis="axisRow" fieldPosition="1">
        <references count="1">
          <reference field="4294967294" count="1" selected="0">
            <x v="1"/>
          </reference>
        </references>
      </pivotArea>
    </format>
    <format dxfId="6">
      <pivotArea field="2" dataOnly="0" labelOnly="1" outline="0" axis="axisRow" fieldPosition="1">
        <references count="1">
          <reference field="4294967294" count="1" selected="0"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1" count="4">
            <x v="7"/>
            <x v="8"/>
            <x v="9"/>
            <x v="10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field="1" type="button" dataOnly="0" labelOnly="1" outline="0" axis="axisRow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BeginsWith" evalOrder="-1" id="2" stringValue1="Кафе">
      <autoFilter ref="A1">
        <filterColumn colId="0">
          <customFilters>
            <customFilter val="Кафе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8"/>
  <sheetViews>
    <sheetView zoomScale="84" workbookViewId="0">
      <selection activeCell="A8" sqref="A8"/>
    </sheetView>
  </sheetViews>
  <sheetFormatPr defaultRowHeight="14.5" x14ac:dyDescent="0.35"/>
  <cols>
    <col min="1" max="1" width="8.453125" customWidth="1"/>
    <col min="2" max="2" width="12.08984375" customWidth="1"/>
  </cols>
  <sheetData>
    <row r="1" spans="1:2" x14ac:dyDescent="0.35">
      <c r="A1" s="104" t="s">
        <v>0</v>
      </c>
      <c r="B1" s="104"/>
    </row>
    <row r="2" spans="1:2" x14ac:dyDescent="0.35">
      <c r="A2" s="1" t="s">
        <v>2</v>
      </c>
      <c r="B2" s="2">
        <v>2.75</v>
      </c>
    </row>
    <row r="3" spans="1:2" x14ac:dyDescent="0.35">
      <c r="A3" s="1" t="s">
        <v>3</v>
      </c>
      <c r="B3" s="2">
        <v>1.3</v>
      </c>
    </row>
    <row r="4" spans="1:2" x14ac:dyDescent="0.35">
      <c r="A4" s="1" t="s">
        <v>4</v>
      </c>
      <c r="B4" s="2">
        <v>-7.85</v>
      </c>
    </row>
    <row r="5" spans="1:2" x14ac:dyDescent="0.35">
      <c r="A5" s="1" t="s">
        <v>5</v>
      </c>
      <c r="B5" s="2">
        <v>1.23</v>
      </c>
    </row>
    <row r="6" spans="1:2" x14ac:dyDescent="0.35">
      <c r="A6" s="1" t="s">
        <v>6</v>
      </c>
      <c r="B6" s="3">
        <v>-2</v>
      </c>
    </row>
    <row r="7" spans="1:2" x14ac:dyDescent="0.35">
      <c r="A7" s="104" t="s">
        <v>1</v>
      </c>
      <c r="B7" s="104"/>
    </row>
    <row r="8" spans="1:2" x14ac:dyDescent="0.35">
      <c r="A8" s="4">
        <f>10^4*SQRT(B2^2*B3^2)/(B4^2+B2^2)-1.7*SQRT(7)*(B2^2+B3^2)/((B2+B3)*B6*B5)-COS(2)/ABS(B4+B5+B6)</f>
        <v>520.95580542991183</v>
      </c>
    </row>
  </sheetData>
  <mergeCells count="2">
    <mergeCell ref="A1:B1"/>
    <mergeCell ref="A7:B7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K23"/>
  <sheetViews>
    <sheetView zoomScale="70" zoomScaleNormal="70" workbookViewId="0">
      <selection activeCell="K17" sqref="K17"/>
    </sheetView>
  </sheetViews>
  <sheetFormatPr defaultRowHeight="14.5" x14ac:dyDescent="0.35"/>
  <cols>
    <col min="2" max="2" width="15.453125" customWidth="1"/>
    <col min="11" max="11" width="9" customWidth="1"/>
  </cols>
  <sheetData>
    <row r="1" spans="1:11" x14ac:dyDescent="0.35">
      <c r="A1" s="105" t="s">
        <v>7</v>
      </c>
      <c r="B1" s="105" t="s">
        <v>8</v>
      </c>
      <c r="C1" s="105" t="s">
        <v>9</v>
      </c>
      <c r="D1" s="105"/>
      <c r="E1" s="105"/>
      <c r="F1" s="105"/>
      <c r="G1" s="105"/>
      <c r="H1" s="105"/>
      <c r="I1" s="105"/>
      <c r="J1" s="105"/>
      <c r="K1" s="105"/>
    </row>
    <row r="2" spans="1:11" x14ac:dyDescent="0.35">
      <c r="A2" s="105"/>
      <c r="B2" s="105"/>
      <c r="C2" s="105" t="s">
        <v>10</v>
      </c>
      <c r="D2" s="105"/>
      <c r="E2" s="105"/>
      <c r="F2" s="105" t="s">
        <v>11</v>
      </c>
      <c r="G2" s="105"/>
      <c r="H2" s="105"/>
      <c r="I2" s="105" t="s">
        <v>12</v>
      </c>
      <c r="J2" s="105"/>
      <c r="K2" s="105"/>
    </row>
    <row r="3" spans="1:11" x14ac:dyDescent="0.35">
      <c r="A3" s="105"/>
      <c r="B3" s="105"/>
      <c r="C3" s="6" t="s">
        <v>13</v>
      </c>
      <c r="D3" s="6" t="s">
        <v>14</v>
      </c>
      <c r="E3" s="6" t="s">
        <v>15</v>
      </c>
      <c r="F3" s="6" t="s">
        <v>13</v>
      </c>
      <c r="G3" s="6" t="s">
        <v>14</v>
      </c>
      <c r="H3" s="6" t="s">
        <v>15</v>
      </c>
      <c r="I3" s="6" t="s">
        <v>13</v>
      </c>
      <c r="J3" s="6" t="s">
        <v>14</v>
      </c>
      <c r="K3" s="6" t="s">
        <v>15</v>
      </c>
    </row>
    <row r="4" spans="1:11" x14ac:dyDescent="0.35">
      <c r="A4" s="6">
        <v>1</v>
      </c>
      <c r="B4" s="6" t="s">
        <v>16</v>
      </c>
      <c r="C4" s="6">
        <v>5</v>
      </c>
      <c r="D4" s="6">
        <v>5</v>
      </c>
      <c r="E4" s="6">
        <v>5</v>
      </c>
      <c r="F4" s="6">
        <v>5</v>
      </c>
      <c r="G4" s="6">
        <v>5</v>
      </c>
      <c r="H4" s="6">
        <v>5</v>
      </c>
      <c r="I4" s="6">
        <v>4</v>
      </c>
      <c r="J4" s="6">
        <v>5</v>
      </c>
      <c r="K4" s="6">
        <v>5</v>
      </c>
    </row>
    <row r="5" spans="1:11" x14ac:dyDescent="0.35">
      <c r="A5" s="6">
        <v>2</v>
      </c>
      <c r="B5" s="6" t="s">
        <v>17</v>
      </c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4</v>
      </c>
      <c r="J5" s="6">
        <v>4</v>
      </c>
      <c r="K5" s="6">
        <v>4</v>
      </c>
    </row>
    <row r="6" spans="1:11" x14ac:dyDescent="0.35">
      <c r="A6" s="6">
        <v>3</v>
      </c>
      <c r="B6" s="6" t="s">
        <v>18</v>
      </c>
      <c r="C6" s="6">
        <v>5</v>
      </c>
      <c r="D6" s="6">
        <v>5</v>
      </c>
      <c r="E6" s="6">
        <v>5</v>
      </c>
      <c r="F6" s="6">
        <v>5</v>
      </c>
      <c r="G6" s="6">
        <v>5</v>
      </c>
      <c r="H6" s="6">
        <v>5</v>
      </c>
      <c r="I6" s="6">
        <v>5</v>
      </c>
      <c r="J6" s="6">
        <v>5</v>
      </c>
      <c r="K6" s="6">
        <v>5</v>
      </c>
    </row>
    <row r="7" spans="1:11" x14ac:dyDescent="0.35">
      <c r="A7" s="6">
        <v>4</v>
      </c>
      <c r="B7" s="6" t="s">
        <v>19</v>
      </c>
      <c r="C7" s="6">
        <v>5</v>
      </c>
      <c r="D7" s="6">
        <v>5</v>
      </c>
      <c r="E7" s="6">
        <v>4</v>
      </c>
      <c r="F7" s="6">
        <v>4</v>
      </c>
      <c r="G7" s="6">
        <v>3</v>
      </c>
      <c r="H7" s="6">
        <v>2</v>
      </c>
      <c r="I7" s="6">
        <v>3</v>
      </c>
      <c r="J7" s="6">
        <v>3</v>
      </c>
      <c r="K7" s="6">
        <v>4</v>
      </c>
    </row>
    <row r="8" spans="1:11" x14ac:dyDescent="0.35">
      <c r="A8" s="6">
        <v>5</v>
      </c>
      <c r="B8" s="6" t="s">
        <v>20</v>
      </c>
      <c r="C8" s="6">
        <v>3</v>
      </c>
      <c r="D8" s="6">
        <v>4</v>
      </c>
      <c r="E8" s="6">
        <v>2</v>
      </c>
      <c r="F8" s="6">
        <v>5</v>
      </c>
      <c r="G8" s="6">
        <v>4</v>
      </c>
      <c r="H8" s="6">
        <v>3</v>
      </c>
      <c r="I8" s="6">
        <v>2</v>
      </c>
      <c r="J8" s="6">
        <v>3</v>
      </c>
      <c r="K8" s="6">
        <v>2</v>
      </c>
    </row>
    <row r="9" spans="1:11" x14ac:dyDescent="0.35">
      <c r="A9" s="6">
        <v>6</v>
      </c>
      <c r="B9" s="6" t="s">
        <v>21</v>
      </c>
      <c r="C9" s="6">
        <v>3</v>
      </c>
      <c r="D9" s="6">
        <v>3</v>
      </c>
      <c r="E9" s="6">
        <v>3</v>
      </c>
      <c r="F9" s="6">
        <v>3</v>
      </c>
      <c r="G9" s="6">
        <v>3</v>
      </c>
      <c r="H9" s="6">
        <v>4</v>
      </c>
      <c r="I9" s="6">
        <v>5</v>
      </c>
      <c r="J9" s="6">
        <v>2</v>
      </c>
      <c r="K9" s="6">
        <v>3</v>
      </c>
    </row>
    <row r="10" spans="1:11" x14ac:dyDescent="0.35">
      <c r="A10" s="6">
        <v>7</v>
      </c>
      <c r="B10" s="6" t="s">
        <v>29</v>
      </c>
      <c r="C10" s="6">
        <v>2</v>
      </c>
      <c r="D10" s="6">
        <v>3</v>
      </c>
      <c r="E10" s="6">
        <v>4</v>
      </c>
      <c r="F10" s="6">
        <v>3</v>
      </c>
      <c r="G10" s="6">
        <v>2</v>
      </c>
      <c r="H10" s="6">
        <v>3</v>
      </c>
      <c r="I10" s="6">
        <v>2</v>
      </c>
      <c r="J10" s="6">
        <v>2</v>
      </c>
      <c r="K10" s="6">
        <v>2</v>
      </c>
    </row>
    <row r="11" spans="1:11" x14ac:dyDescent="0.35">
      <c r="A11" s="6">
        <v>8</v>
      </c>
      <c r="B11" s="6" t="s">
        <v>28</v>
      </c>
      <c r="C11" s="6">
        <v>3</v>
      </c>
      <c r="D11" s="6">
        <v>4</v>
      </c>
      <c r="E11" s="6">
        <v>2</v>
      </c>
      <c r="F11" s="6">
        <v>5</v>
      </c>
      <c r="G11" s="6">
        <v>2</v>
      </c>
      <c r="H11" s="6">
        <v>3</v>
      </c>
      <c r="I11" s="6">
        <v>4</v>
      </c>
      <c r="J11" s="6">
        <v>2</v>
      </c>
      <c r="K11" s="6">
        <v>4</v>
      </c>
    </row>
    <row r="12" spans="1:11" x14ac:dyDescent="0.35">
      <c r="A12" s="6">
        <v>9</v>
      </c>
      <c r="B12" s="6" t="s">
        <v>27</v>
      </c>
      <c r="C12" s="6">
        <v>3</v>
      </c>
      <c r="D12" s="6">
        <v>2</v>
      </c>
      <c r="E12" s="6">
        <v>3</v>
      </c>
      <c r="F12" s="6">
        <v>2</v>
      </c>
      <c r="G12" s="6">
        <v>4</v>
      </c>
      <c r="H12" s="6">
        <v>5</v>
      </c>
      <c r="I12" s="6">
        <v>4</v>
      </c>
      <c r="J12" s="6">
        <v>5</v>
      </c>
      <c r="K12" s="6">
        <v>4</v>
      </c>
    </row>
    <row r="13" spans="1:11" x14ac:dyDescent="0.35">
      <c r="A13" s="6">
        <v>10</v>
      </c>
      <c r="B13" s="6" t="s">
        <v>26</v>
      </c>
      <c r="C13" s="6">
        <v>4</v>
      </c>
      <c r="D13" s="6">
        <v>4</v>
      </c>
      <c r="E13" s="6">
        <v>4</v>
      </c>
      <c r="F13" s="6">
        <v>4</v>
      </c>
      <c r="G13" s="6">
        <v>4</v>
      </c>
      <c r="H13" s="6">
        <v>4</v>
      </c>
      <c r="I13" s="6">
        <v>4</v>
      </c>
      <c r="J13" s="6">
        <v>4</v>
      </c>
      <c r="K13" s="6">
        <v>4</v>
      </c>
    </row>
    <row r="14" spans="1:11" x14ac:dyDescent="0.35">
      <c r="A14" s="6"/>
      <c r="B14" s="7" t="s">
        <v>22</v>
      </c>
      <c r="C14" s="6">
        <f t="shared" ref="C14:K14" si="0">COUNTIF(C$4:C$13,5)</f>
        <v>4</v>
      </c>
      <c r="D14" s="6">
        <f t="shared" si="0"/>
        <v>4</v>
      </c>
      <c r="E14" s="6">
        <f t="shared" si="0"/>
        <v>3</v>
      </c>
      <c r="F14" s="6">
        <f t="shared" si="0"/>
        <v>5</v>
      </c>
      <c r="G14" s="6">
        <f t="shared" si="0"/>
        <v>3</v>
      </c>
      <c r="H14" s="6">
        <f t="shared" si="0"/>
        <v>4</v>
      </c>
      <c r="I14" s="6">
        <f t="shared" si="0"/>
        <v>2</v>
      </c>
      <c r="J14" s="6">
        <f t="shared" si="0"/>
        <v>3</v>
      </c>
      <c r="K14" s="6">
        <f t="shared" si="0"/>
        <v>2</v>
      </c>
    </row>
    <row r="15" spans="1:11" x14ac:dyDescent="0.35">
      <c r="A15" s="6"/>
      <c r="B15" s="7" t="s">
        <v>25</v>
      </c>
      <c r="C15" s="6">
        <f t="shared" ref="C15:K15" si="1">COUNTIF(C$4:C$13,4)</f>
        <v>1</v>
      </c>
      <c r="D15" s="6">
        <f t="shared" si="1"/>
        <v>3</v>
      </c>
      <c r="E15" s="6">
        <f t="shared" si="1"/>
        <v>3</v>
      </c>
      <c r="F15" s="6">
        <f t="shared" si="1"/>
        <v>2</v>
      </c>
      <c r="G15" s="6">
        <f t="shared" si="1"/>
        <v>3</v>
      </c>
      <c r="H15" s="6">
        <f t="shared" si="1"/>
        <v>2</v>
      </c>
      <c r="I15" s="6">
        <f t="shared" si="1"/>
        <v>5</v>
      </c>
      <c r="J15" s="6">
        <f t="shared" si="1"/>
        <v>2</v>
      </c>
      <c r="K15" s="6">
        <f t="shared" si="1"/>
        <v>5</v>
      </c>
    </row>
    <row r="16" spans="1:11" x14ac:dyDescent="0.35">
      <c r="A16" s="6"/>
      <c r="B16" s="7" t="s">
        <v>24</v>
      </c>
      <c r="C16" s="6">
        <f t="shared" ref="C16:K16" si="2">COUNTIF(C$4:C$13,3)</f>
        <v>4</v>
      </c>
      <c r="D16" s="6">
        <f t="shared" si="2"/>
        <v>2</v>
      </c>
      <c r="E16" s="6">
        <f t="shared" si="2"/>
        <v>2</v>
      </c>
      <c r="F16" s="6">
        <f t="shared" si="2"/>
        <v>2</v>
      </c>
      <c r="G16" s="6">
        <f t="shared" si="2"/>
        <v>2</v>
      </c>
      <c r="H16" s="6">
        <f t="shared" si="2"/>
        <v>3</v>
      </c>
      <c r="I16" s="6">
        <f t="shared" si="2"/>
        <v>1</v>
      </c>
      <c r="J16" s="6">
        <f t="shared" si="2"/>
        <v>2</v>
      </c>
      <c r="K16" s="6">
        <f t="shared" si="2"/>
        <v>1</v>
      </c>
    </row>
    <row r="17" spans="1:11" x14ac:dyDescent="0.35">
      <c r="A17" s="6"/>
      <c r="B17" s="7" t="s">
        <v>23</v>
      </c>
      <c r="C17" s="6">
        <f t="shared" ref="C17:J17" si="3">COUNTIF(C$4:C$13,2)</f>
        <v>1</v>
      </c>
      <c r="D17" s="6">
        <f t="shared" si="3"/>
        <v>1</v>
      </c>
      <c r="E17" s="6">
        <f t="shared" si="3"/>
        <v>2</v>
      </c>
      <c r="F17" s="6">
        <f t="shared" si="3"/>
        <v>1</v>
      </c>
      <c r="G17" s="6">
        <f t="shared" si="3"/>
        <v>2</v>
      </c>
      <c r="H17" s="6">
        <f t="shared" si="3"/>
        <v>1</v>
      </c>
      <c r="I17" s="6">
        <f t="shared" si="3"/>
        <v>2</v>
      </c>
      <c r="J17" s="6">
        <f t="shared" si="3"/>
        <v>3</v>
      </c>
      <c r="K17" s="6">
        <v>4</v>
      </c>
    </row>
    <row r="18" spans="1:11" x14ac:dyDescent="0.35">
      <c r="A18" s="5"/>
    </row>
    <row r="19" spans="1:11" x14ac:dyDescent="0.35">
      <c r="A19" s="5"/>
    </row>
    <row r="20" spans="1:11" x14ac:dyDescent="0.35">
      <c r="A20" s="5"/>
    </row>
    <row r="21" spans="1:11" x14ac:dyDescent="0.35">
      <c r="A21" s="5"/>
    </row>
    <row r="22" spans="1:11" x14ac:dyDescent="0.35">
      <c r="A22" s="5"/>
    </row>
    <row r="23" spans="1:11" x14ac:dyDescent="0.35">
      <c r="A23" s="5"/>
    </row>
  </sheetData>
  <mergeCells count="6">
    <mergeCell ref="A1:A3"/>
    <mergeCell ref="B1:B3"/>
    <mergeCell ref="C1:K1"/>
    <mergeCell ref="C2:E2"/>
    <mergeCell ref="F2:H2"/>
    <mergeCell ref="I2:K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T13"/>
  <sheetViews>
    <sheetView topLeftCell="B1" zoomScale="130" zoomScaleNormal="130" workbookViewId="0">
      <selection activeCell="A5" sqref="A5"/>
    </sheetView>
  </sheetViews>
  <sheetFormatPr defaultRowHeight="14.5" x14ac:dyDescent="0.35"/>
  <cols>
    <col min="1" max="1" width="16.90625" bestFit="1" customWidth="1"/>
  </cols>
  <sheetData>
    <row r="1" spans="1:20" ht="15.5" x14ac:dyDescent="0.35">
      <c r="A1" s="106" t="s">
        <v>30</v>
      </c>
      <c r="B1" s="106"/>
      <c r="C1" s="106"/>
      <c r="D1" s="106"/>
      <c r="E1" s="106"/>
      <c r="F1" s="106"/>
    </row>
    <row r="2" spans="1:20" ht="15.5" x14ac:dyDescent="0.35">
      <c r="A2" s="12" t="s">
        <v>31</v>
      </c>
      <c r="B2" s="12" t="s">
        <v>32</v>
      </c>
      <c r="C2" s="12" t="s">
        <v>33</v>
      </c>
      <c r="D2" s="12" t="s">
        <v>34</v>
      </c>
      <c r="E2" s="12" t="s">
        <v>35</v>
      </c>
      <c r="F2" s="12" t="s">
        <v>36</v>
      </c>
    </row>
    <row r="3" spans="1:20" ht="15.5" x14ac:dyDescent="0.35">
      <c r="A3" s="13" t="s">
        <v>37</v>
      </c>
      <c r="B3" s="14">
        <v>623</v>
      </c>
      <c r="C3" s="14">
        <v>2465</v>
      </c>
      <c r="D3" s="14">
        <v>1500</v>
      </c>
      <c r="E3" s="14">
        <v>1300</v>
      </c>
      <c r="F3" s="14">
        <v>2850</v>
      </c>
      <c r="N3" s="17"/>
      <c r="O3" s="17"/>
      <c r="P3" s="17"/>
      <c r="Q3" s="17"/>
      <c r="R3" s="17"/>
      <c r="S3" s="17"/>
      <c r="T3" s="17"/>
    </row>
    <row r="4" spans="1:20" ht="15.5" x14ac:dyDescent="0.35">
      <c r="A4" s="13" t="s">
        <v>38</v>
      </c>
      <c r="B4" s="14">
        <v>1250</v>
      </c>
      <c r="C4" s="14">
        <v>3500</v>
      </c>
      <c r="D4" s="14">
        <v>2500</v>
      </c>
      <c r="E4" s="14">
        <v>1800</v>
      </c>
      <c r="F4" s="14">
        <v>2150</v>
      </c>
      <c r="N4" s="17"/>
      <c r="O4" s="9"/>
      <c r="P4" s="9"/>
      <c r="Q4" s="9"/>
      <c r="R4" s="9"/>
      <c r="S4" s="9"/>
      <c r="T4" s="17"/>
    </row>
    <row r="5" spans="1:20" ht="34" customHeight="1" x14ac:dyDescent="0.35">
      <c r="A5" s="15" t="s">
        <v>39</v>
      </c>
      <c r="B5" s="14">
        <v>2560</v>
      </c>
      <c r="C5" s="14">
        <v>930</v>
      </c>
      <c r="D5" s="14">
        <v>1300</v>
      </c>
      <c r="E5" s="14">
        <v>1120</v>
      </c>
      <c r="F5" s="14">
        <v>2510</v>
      </c>
      <c r="N5" s="17"/>
      <c r="O5" s="10"/>
      <c r="P5" s="11"/>
      <c r="Q5" s="11"/>
      <c r="R5" s="11"/>
      <c r="S5" s="11"/>
      <c r="T5" s="17"/>
    </row>
    <row r="6" spans="1:20" ht="56.5" customHeight="1" x14ac:dyDescent="0.35">
      <c r="A6" s="16" t="s">
        <v>40</v>
      </c>
      <c r="B6" s="14">
        <v>850</v>
      </c>
      <c r="C6" s="14">
        <v>2500</v>
      </c>
      <c r="D6" s="14">
        <v>1200</v>
      </c>
      <c r="E6" s="14">
        <v>1800</v>
      </c>
      <c r="F6" s="14">
        <v>1650</v>
      </c>
      <c r="N6" s="17"/>
      <c r="O6" s="10"/>
      <c r="P6" s="11"/>
      <c r="Q6" s="11"/>
      <c r="R6" s="11"/>
      <c r="S6" s="11"/>
      <c r="T6" s="17"/>
    </row>
    <row r="7" spans="1:20" ht="15.5" x14ac:dyDescent="0.35">
      <c r="A7" s="13" t="s">
        <v>41</v>
      </c>
      <c r="B7" s="14">
        <v>1456</v>
      </c>
      <c r="C7" s="14"/>
      <c r="D7" s="14"/>
      <c r="E7" s="14"/>
      <c r="F7" s="14">
        <v>1250</v>
      </c>
      <c r="N7" s="17"/>
      <c r="O7" s="17"/>
      <c r="P7" s="17"/>
      <c r="Q7" s="17"/>
      <c r="R7" s="17"/>
      <c r="S7" s="17"/>
      <c r="T7" s="17"/>
    </row>
    <row r="8" spans="1:20" ht="15.5" x14ac:dyDescent="0.35">
      <c r="A8" s="13" t="s">
        <v>42</v>
      </c>
      <c r="B8" s="14">
        <v>980</v>
      </c>
      <c r="C8" s="14">
        <v>1450</v>
      </c>
      <c r="D8" s="14">
        <v>1200</v>
      </c>
      <c r="E8" s="14">
        <v>560</v>
      </c>
      <c r="F8" s="14">
        <v>850</v>
      </c>
    </row>
    <row r="9" spans="1:20" ht="15.5" x14ac:dyDescent="0.35">
      <c r="A9" s="8"/>
      <c r="B9" s="8"/>
      <c r="C9" s="8"/>
      <c r="D9" s="8"/>
      <c r="E9" s="8"/>
      <c r="F9" s="8"/>
    </row>
    <row r="10" spans="1:20" ht="15.5" x14ac:dyDescent="0.35">
      <c r="A10" s="8"/>
      <c r="B10" s="8"/>
      <c r="C10" s="8"/>
      <c r="D10" s="8"/>
      <c r="E10" s="8"/>
      <c r="F10" s="8"/>
    </row>
    <row r="11" spans="1:20" ht="15.5" x14ac:dyDescent="0.35">
      <c r="A11" s="8"/>
      <c r="B11" s="8"/>
      <c r="C11" s="8"/>
      <c r="D11" s="8"/>
      <c r="E11" s="8"/>
      <c r="F11" s="8"/>
    </row>
    <row r="12" spans="1:20" ht="15.5" x14ac:dyDescent="0.35">
      <c r="A12" s="8"/>
      <c r="B12" s="8"/>
      <c r="C12" s="8"/>
      <c r="D12" s="8"/>
      <c r="E12" s="8"/>
      <c r="F12" s="8"/>
    </row>
    <row r="13" spans="1:20" ht="15.5" x14ac:dyDescent="0.35">
      <c r="A13" s="8"/>
      <c r="B13" s="8"/>
      <c r="C13" s="8"/>
      <c r="D13" s="8"/>
      <c r="E13" s="8"/>
      <c r="F13" s="8"/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 filterMode="1"/>
  <dimension ref="A1:E11"/>
  <sheetViews>
    <sheetView workbookViewId="0">
      <selection activeCell="F37" sqref="F37"/>
    </sheetView>
  </sheetViews>
  <sheetFormatPr defaultRowHeight="14.5" x14ac:dyDescent="0.35"/>
  <cols>
    <col min="2" max="2" width="30" customWidth="1"/>
    <col min="3" max="3" width="27.6328125" customWidth="1"/>
    <col min="4" max="4" width="14.453125" customWidth="1"/>
    <col min="5" max="5" width="15" customWidth="1"/>
  </cols>
  <sheetData>
    <row r="1" spans="1:5" x14ac:dyDescent="0.35">
      <c r="A1" s="19" t="s">
        <v>7</v>
      </c>
      <c r="B1" s="19" t="s">
        <v>43</v>
      </c>
      <c r="C1" s="19" t="s">
        <v>44</v>
      </c>
      <c r="D1" s="19" t="s">
        <v>45</v>
      </c>
      <c r="E1" s="19" t="s">
        <v>46</v>
      </c>
    </row>
    <row r="2" spans="1:5" hidden="1" x14ac:dyDescent="0.35">
      <c r="A2" s="18">
        <v>1</v>
      </c>
      <c r="B2" s="18" t="s">
        <v>49</v>
      </c>
      <c r="C2" s="18" t="s">
        <v>65</v>
      </c>
      <c r="D2" s="20">
        <v>39114</v>
      </c>
      <c r="E2" s="18">
        <v>10800</v>
      </c>
    </row>
    <row r="3" spans="1:5" hidden="1" x14ac:dyDescent="0.35">
      <c r="A3" s="18">
        <v>2</v>
      </c>
      <c r="B3" s="18" t="s">
        <v>50</v>
      </c>
      <c r="C3" s="18" t="s">
        <v>47</v>
      </c>
      <c r="D3" s="20">
        <v>39299</v>
      </c>
      <c r="E3" s="18">
        <v>20000</v>
      </c>
    </row>
    <row r="4" spans="1:5" hidden="1" x14ac:dyDescent="0.35">
      <c r="A4" s="18">
        <v>3</v>
      </c>
      <c r="B4" s="18" t="s">
        <v>51</v>
      </c>
      <c r="C4" s="18" t="s">
        <v>64</v>
      </c>
      <c r="D4" s="20">
        <v>39406</v>
      </c>
      <c r="E4" s="18">
        <v>43000</v>
      </c>
    </row>
    <row r="5" spans="1:5" hidden="1" x14ac:dyDescent="0.35">
      <c r="A5" s="18">
        <v>4</v>
      </c>
      <c r="B5" s="18" t="s">
        <v>52</v>
      </c>
      <c r="C5" s="18" t="s">
        <v>63</v>
      </c>
      <c r="D5" s="20">
        <v>39128</v>
      </c>
      <c r="E5" s="18">
        <v>18000</v>
      </c>
    </row>
    <row r="6" spans="1:5" hidden="1" x14ac:dyDescent="0.35">
      <c r="A6" s="18">
        <v>5</v>
      </c>
      <c r="B6" s="18" t="s">
        <v>53</v>
      </c>
      <c r="C6" s="18" t="s">
        <v>62</v>
      </c>
      <c r="D6" s="20">
        <v>39326</v>
      </c>
      <c r="E6" s="18">
        <v>47000</v>
      </c>
    </row>
    <row r="7" spans="1:5" x14ac:dyDescent="0.35">
      <c r="A7" s="18">
        <v>6</v>
      </c>
      <c r="B7" s="18" t="s">
        <v>54</v>
      </c>
      <c r="C7" s="18" t="s">
        <v>61</v>
      </c>
      <c r="D7" s="20">
        <v>39202</v>
      </c>
      <c r="E7" s="18">
        <v>30720</v>
      </c>
    </row>
    <row r="8" spans="1:5" x14ac:dyDescent="0.35">
      <c r="A8" s="18">
        <v>7</v>
      </c>
      <c r="B8" s="18" t="s">
        <v>55</v>
      </c>
      <c r="C8" s="18" t="s">
        <v>60</v>
      </c>
      <c r="D8" s="20">
        <v>39264</v>
      </c>
      <c r="E8" s="18">
        <v>80991</v>
      </c>
    </row>
    <row r="9" spans="1:5" hidden="1" x14ac:dyDescent="0.35">
      <c r="A9" s="18">
        <v>8</v>
      </c>
      <c r="B9" s="18" t="s">
        <v>56</v>
      </c>
      <c r="C9" s="18" t="s">
        <v>48</v>
      </c>
      <c r="D9" s="20">
        <v>39299</v>
      </c>
      <c r="E9" s="18">
        <v>30234</v>
      </c>
    </row>
    <row r="10" spans="1:5" hidden="1" x14ac:dyDescent="0.35">
      <c r="A10" s="18">
        <v>9</v>
      </c>
      <c r="B10" s="18" t="s">
        <v>57</v>
      </c>
      <c r="C10" s="18" t="s">
        <v>59</v>
      </c>
      <c r="D10" s="20">
        <v>39406</v>
      </c>
      <c r="E10" s="18">
        <v>11000</v>
      </c>
    </row>
    <row r="11" spans="1:5" hidden="1" x14ac:dyDescent="0.35">
      <c r="A11" s="18">
        <v>10</v>
      </c>
      <c r="B11" s="18" t="s">
        <v>58</v>
      </c>
      <c r="C11" s="18" t="s">
        <v>61</v>
      </c>
      <c r="D11" s="20">
        <v>39128</v>
      </c>
      <c r="E11" s="18">
        <v>15664</v>
      </c>
    </row>
  </sheetData>
  <autoFilter ref="A1:E11" xr:uid="{00000000-0009-0000-0000-000003000000}">
    <filterColumn colId="3">
      <customFilters and="1">
        <customFilter operator="greaterThan" val="39192"/>
        <customFilter operator="lessThan" val="39283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T40"/>
  <sheetViews>
    <sheetView zoomScale="86" zoomScaleNormal="70" workbookViewId="0">
      <selection activeCell="B3" activeCellId="1" sqref="B26 B3"/>
    </sheetView>
  </sheetViews>
  <sheetFormatPr defaultRowHeight="14.5" x14ac:dyDescent="0.35"/>
  <cols>
    <col min="2" max="2" width="30.08984375" customWidth="1"/>
    <col min="3" max="3" width="24.08984375" customWidth="1"/>
    <col min="4" max="4" width="13.90625" customWidth="1"/>
    <col min="5" max="5" width="12.90625" customWidth="1"/>
    <col min="7" max="7" width="27.453125" customWidth="1"/>
    <col min="8" max="8" width="14.6328125" customWidth="1"/>
    <col min="9" max="9" width="13.6328125" customWidth="1"/>
    <col min="15" max="15" width="18.36328125" customWidth="1"/>
    <col min="16" max="16" width="28.26953125" customWidth="1"/>
    <col min="17" max="17" width="22.7265625" customWidth="1"/>
    <col min="18" max="18" width="16.6328125" customWidth="1"/>
    <col min="20" max="20" width="26.36328125" customWidth="1"/>
  </cols>
  <sheetData>
    <row r="1" spans="1:20" x14ac:dyDescent="0.35">
      <c r="A1" s="19" t="s">
        <v>7</v>
      </c>
      <c r="B1" s="19" t="s">
        <v>43</v>
      </c>
      <c r="C1" s="19" t="s">
        <v>44</v>
      </c>
      <c r="D1" s="19" t="s">
        <v>45</v>
      </c>
      <c r="E1" s="19" t="s">
        <v>46</v>
      </c>
      <c r="N1" s="19" t="s">
        <v>7</v>
      </c>
      <c r="O1" s="19" t="s">
        <v>43</v>
      </c>
      <c r="P1" s="19" t="s">
        <v>44</v>
      </c>
      <c r="Q1" s="19" t="s">
        <v>45</v>
      </c>
      <c r="R1" s="19" t="s">
        <v>46</v>
      </c>
      <c r="T1" s="19" t="s">
        <v>43</v>
      </c>
    </row>
    <row r="2" spans="1:20" x14ac:dyDescent="0.35">
      <c r="A2" s="18">
        <v>1</v>
      </c>
      <c r="B2" s="18" t="s">
        <v>49</v>
      </c>
      <c r="C2" s="18" t="s">
        <v>65</v>
      </c>
      <c r="D2" s="20">
        <v>39114</v>
      </c>
      <c r="E2" s="18">
        <v>10800</v>
      </c>
      <c r="G2" s="22" t="s">
        <v>46</v>
      </c>
      <c r="H2" s="22" t="s">
        <v>46</v>
      </c>
      <c r="N2" s="18">
        <v>1</v>
      </c>
      <c r="O2" s="18" t="s">
        <v>49</v>
      </c>
      <c r="P2" s="18" t="s">
        <v>65</v>
      </c>
      <c r="Q2" s="20">
        <v>39114</v>
      </c>
      <c r="R2" s="18">
        <v>10800</v>
      </c>
      <c r="T2" t="s">
        <v>113</v>
      </c>
    </row>
    <row r="3" spans="1:20" x14ac:dyDescent="0.35">
      <c r="A3" s="18">
        <v>2</v>
      </c>
      <c r="B3" s="18" t="s">
        <v>50</v>
      </c>
      <c r="C3" s="18" t="s">
        <v>47</v>
      </c>
      <c r="D3" s="20">
        <v>39299</v>
      </c>
      <c r="E3" s="18">
        <v>20000</v>
      </c>
      <c r="G3" t="s">
        <v>66</v>
      </c>
      <c r="H3" t="s">
        <v>67</v>
      </c>
      <c r="N3" s="18">
        <v>2</v>
      </c>
      <c r="O3" s="18" t="s">
        <v>50</v>
      </c>
      <c r="P3" s="18" t="s">
        <v>47</v>
      </c>
      <c r="Q3" s="20">
        <v>39299</v>
      </c>
      <c r="R3" s="18">
        <v>20000</v>
      </c>
    </row>
    <row r="4" spans="1:20" x14ac:dyDescent="0.35">
      <c r="A4" s="18">
        <v>3</v>
      </c>
      <c r="B4" s="18" t="s">
        <v>51</v>
      </c>
      <c r="C4" s="18" t="s">
        <v>64</v>
      </c>
      <c r="D4" s="20">
        <v>39406</v>
      </c>
      <c r="E4" s="18">
        <v>94005</v>
      </c>
      <c r="N4" s="18">
        <v>3</v>
      </c>
      <c r="O4" s="18" t="s">
        <v>51</v>
      </c>
      <c r="P4" s="18" t="s">
        <v>64</v>
      </c>
      <c r="Q4" s="20">
        <v>39406</v>
      </c>
      <c r="R4" s="18">
        <v>94005</v>
      </c>
      <c r="T4" s="19" t="s">
        <v>44</v>
      </c>
    </row>
    <row r="5" spans="1:20" x14ac:dyDescent="0.35">
      <c r="A5" s="18">
        <v>4</v>
      </c>
      <c r="B5" s="18" t="s">
        <v>52</v>
      </c>
      <c r="C5" s="18" t="s">
        <v>63</v>
      </c>
      <c r="D5" s="20">
        <v>39128</v>
      </c>
      <c r="E5" s="18">
        <v>18000</v>
      </c>
      <c r="G5" s="22" t="s">
        <v>46</v>
      </c>
      <c r="H5" s="19" t="s">
        <v>45</v>
      </c>
      <c r="N5" s="18">
        <v>4</v>
      </c>
      <c r="O5" s="18" t="s">
        <v>52</v>
      </c>
      <c r="P5" s="18" t="s">
        <v>63</v>
      </c>
      <c r="Q5" s="20">
        <v>39128</v>
      </c>
      <c r="R5" s="18">
        <v>18000</v>
      </c>
      <c r="T5" s="18" t="s">
        <v>65</v>
      </c>
    </row>
    <row r="6" spans="1:20" x14ac:dyDescent="0.35">
      <c r="A6" s="18">
        <v>5</v>
      </c>
      <c r="B6" s="18" t="s">
        <v>53</v>
      </c>
      <c r="C6" s="18" t="s">
        <v>62</v>
      </c>
      <c r="D6" s="20">
        <v>39326</v>
      </c>
      <c r="E6" s="18">
        <v>47000</v>
      </c>
      <c r="G6" t="s">
        <v>69</v>
      </c>
      <c r="H6" t="s">
        <v>68</v>
      </c>
      <c r="N6" s="18">
        <v>5</v>
      </c>
      <c r="O6" s="18" t="s">
        <v>53</v>
      </c>
      <c r="P6" s="18" t="s">
        <v>62</v>
      </c>
      <c r="Q6" s="20">
        <v>39326</v>
      </c>
      <c r="R6" s="18">
        <v>47000</v>
      </c>
      <c r="T6" s="18" t="s">
        <v>47</v>
      </c>
    </row>
    <row r="7" spans="1:20" x14ac:dyDescent="0.35">
      <c r="A7" s="18">
        <v>6</v>
      </c>
      <c r="B7" s="18" t="s">
        <v>54</v>
      </c>
      <c r="C7" s="18" t="s">
        <v>61</v>
      </c>
      <c r="D7" s="20">
        <v>39202</v>
      </c>
      <c r="E7" s="18">
        <v>50650</v>
      </c>
      <c r="N7" s="18">
        <v>6</v>
      </c>
      <c r="O7" s="18" t="s">
        <v>54</v>
      </c>
      <c r="P7" s="18" t="s">
        <v>61</v>
      </c>
      <c r="Q7" s="20">
        <v>39202</v>
      </c>
      <c r="R7" s="18">
        <v>50650</v>
      </c>
    </row>
    <row r="8" spans="1:20" x14ac:dyDescent="0.35">
      <c r="A8" s="18">
        <v>7</v>
      </c>
      <c r="B8" s="18" t="s">
        <v>55</v>
      </c>
      <c r="C8" s="18" t="s">
        <v>60</v>
      </c>
      <c r="D8" s="20">
        <v>39264</v>
      </c>
      <c r="E8" s="18">
        <v>80991</v>
      </c>
      <c r="G8" s="19" t="s">
        <v>44</v>
      </c>
      <c r="H8" s="19" t="s">
        <v>45</v>
      </c>
      <c r="I8" s="19" t="s">
        <v>46</v>
      </c>
      <c r="N8" s="18">
        <v>7</v>
      </c>
      <c r="O8" s="18" t="s">
        <v>55</v>
      </c>
      <c r="P8" s="18" t="s">
        <v>60</v>
      </c>
      <c r="Q8" s="20">
        <v>39264</v>
      </c>
      <c r="R8" s="18">
        <v>80991</v>
      </c>
    </row>
    <row r="9" spans="1:20" x14ac:dyDescent="0.35">
      <c r="A9" s="18">
        <v>8</v>
      </c>
      <c r="B9" s="18" t="s">
        <v>56</v>
      </c>
      <c r="C9" s="18" t="s">
        <v>48</v>
      </c>
      <c r="D9" s="20">
        <v>39299</v>
      </c>
      <c r="E9" s="18">
        <v>30234</v>
      </c>
      <c r="G9" s="18" t="s">
        <v>71</v>
      </c>
      <c r="H9" t="s">
        <v>70</v>
      </c>
      <c r="I9" t="s">
        <v>72</v>
      </c>
      <c r="N9" s="18">
        <v>8</v>
      </c>
      <c r="O9" s="18" t="s">
        <v>56</v>
      </c>
      <c r="P9" s="18" t="s">
        <v>48</v>
      </c>
      <c r="Q9" s="20">
        <v>39299</v>
      </c>
      <c r="R9" s="18">
        <v>30234</v>
      </c>
    </row>
    <row r="10" spans="1:20" x14ac:dyDescent="0.35">
      <c r="A10" s="18">
        <v>9</v>
      </c>
      <c r="B10" s="18" t="s">
        <v>57</v>
      </c>
      <c r="C10" s="18" t="s">
        <v>59</v>
      </c>
      <c r="D10" s="20">
        <v>39406</v>
      </c>
      <c r="E10" s="18">
        <v>110000</v>
      </c>
      <c r="N10" s="18">
        <v>9</v>
      </c>
      <c r="O10" s="18" t="s">
        <v>57</v>
      </c>
      <c r="P10" s="18" t="s">
        <v>59</v>
      </c>
      <c r="Q10" s="20">
        <v>39406</v>
      </c>
      <c r="R10" s="18">
        <v>110000</v>
      </c>
    </row>
    <row r="11" spans="1:20" x14ac:dyDescent="0.35">
      <c r="A11" s="18">
        <v>10</v>
      </c>
      <c r="B11" s="18" t="s">
        <v>58</v>
      </c>
      <c r="C11" s="18" t="s">
        <v>61</v>
      </c>
      <c r="D11" s="20">
        <v>39128</v>
      </c>
      <c r="E11" s="18">
        <v>15664</v>
      </c>
      <c r="G11" s="19" t="s">
        <v>44</v>
      </c>
    </row>
    <row r="12" spans="1:20" x14ac:dyDescent="0.35">
      <c r="G12" s="18" t="s">
        <v>61</v>
      </c>
      <c r="N12" s="19" t="s">
        <v>7</v>
      </c>
      <c r="O12" s="19" t="s">
        <v>43</v>
      </c>
      <c r="P12" s="19" t="s">
        <v>44</v>
      </c>
      <c r="Q12" s="19" t="s">
        <v>45</v>
      </c>
      <c r="R12" s="19" t="s">
        <v>46</v>
      </c>
    </row>
    <row r="13" spans="1:20" x14ac:dyDescent="0.35">
      <c r="B13" s="19" t="s">
        <v>43</v>
      </c>
      <c r="C13" s="19" t="s">
        <v>44</v>
      </c>
      <c r="G13" s="18" t="s">
        <v>63</v>
      </c>
      <c r="N13" s="18">
        <v>1</v>
      </c>
      <c r="O13" s="18" t="s">
        <v>49</v>
      </c>
      <c r="P13" s="18" t="s">
        <v>65</v>
      </c>
      <c r="Q13" s="20">
        <v>39114</v>
      </c>
      <c r="R13" s="18">
        <v>10800</v>
      </c>
    </row>
    <row r="14" spans="1:20" x14ac:dyDescent="0.35">
      <c r="B14" s="18" t="s">
        <v>54</v>
      </c>
      <c r="C14" s="18" t="s">
        <v>61</v>
      </c>
    </row>
    <row r="15" spans="1:20" x14ac:dyDescent="0.35">
      <c r="B15" s="18" t="s">
        <v>55</v>
      </c>
      <c r="C15" s="18" t="s">
        <v>60</v>
      </c>
      <c r="G15" s="22" t="s">
        <v>103</v>
      </c>
    </row>
    <row r="16" spans="1:20" x14ac:dyDescent="0.35">
      <c r="G16" t="b">
        <f>E2&gt;AVERAGE($E$2:$E$11)</f>
        <v>0</v>
      </c>
      <c r="N16" s="19" t="s">
        <v>7</v>
      </c>
      <c r="O16" s="19" t="s">
        <v>43</v>
      </c>
      <c r="P16" s="19" t="s">
        <v>44</v>
      </c>
      <c r="Q16" s="19" t="s">
        <v>45</v>
      </c>
      <c r="R16" s="19" t="s">
        <v>46</v>
      </c>
    </row>
    <row r="17" spans="2:18" x14ac:dyDescent="0.35">
      <c r="B17" s="19" t="s">
        <v>43</v>
      </c>
      <c r="C17" s="19" t="s">
        <v>46</v>
      </c>
      <c r="D17" s="19" t="s">
        <v>45</v>
      </c>
      <c r="N17" s="18">
        <v>1</v>
      </c>
      <c r="O17" s="18" t="s">
        <v>49</v>
      </c>
      <c r="P17" s="18" t="s">
        <v>65</v>
      </c>
      <c r="Q17" s="20">
        <v>39114</v>
      </c>
      <c r="R17" s="18">
        <v>10800</v>
      </c>
    </row>
    <row r="18" spans="2:18" x14ac:dyDescent="0.35">
      <c r="B18" s="18" t="s">
        <v>51</v>
      </c>
      <c r="C18" s="18">
        <v>94005</v>
      </c>
      <c r="D18" s="20">
        <v>39406</v>
      </c>
      <c r="G18" s="22" t="s">
        <v>43</v>
      </c>
      <c r="N18" s="18">
        <v>2</v>
      </c>
      <c r="O18" s="18" t="s">
        <v>50</v>
      </c>
      <c r="P18" s="18" t="s">
        <v>47</v>
      </c>
      <c r="Q18" s="20">
        <v>39299</v>
      </c>
      <c r="R18" s="18">
        <v>20000</v>
      </c>
    </row>
    <row r="19" spans="2:18" x14ac:dyDescent="0.35">
      <c r="B19" s="18" t="s">
        <v>53</v>
      </c>
      <c r="C19" s="18">
        <v>47000</v>
      </c>
      <c r="D19" s="20">
        <v>39326</v>
      </c>
      <c r="G19" t="s">
        <v>104</v>
      </c>
    </row>
    <row r="20" spans="2:18" x14ac:dyDescent="0.35">
      <c r="B20" s="18" t="s">
        <v>54</v>
      </c>
      <c r="C20" s="18">
        <v>50650</v>
      </c>
      <c r="D20" s="20">
        <v>39202</v>
      </c>
    </row>
    <row r="21" spans="2:18" x14ac:dyDescent="0.35">
      <c r="B21" s="18" t="s">
        <v>55</v>
      </c>
      <c r="C21" s="18">
        <v>80991</v>
      </c>
      <c r="D21" s="20">
        <v>39264</v>
      </c>
      <c r="G21" t="s">
        <v>105</v>
      </c>
    </row>
    <row r="22" spans="2:18" x14ac:dyDescent="0.35">
      <c r="B22" s="18" t="s">
        <v>56</v>
      </c>
      <c r="C22" s="18">
        <v>30234</v>
      </c>
      <c r="D22" s="20">
        <v>39299</v>
      </c>
      <c r="G22">
        <f>DSUM(A1:E11,E1,G18:G19)</f>
        <v>151641</v>
      </c>
    </row>
    <row r="23" spans="2:18" x14ac:dyDescent="0.35">
      <c r="B23" s="18" t="s">
        <v>57</v>
      </c>
      <c r="C23" s="18">
        <v>110000</v>
      </c>
      <c r="D23" s="20">
        <v>39406</v>
      </c>
    </row>
    <row r="24" spans="2:18" x14ac:dyDescent="0.35">
      <c r="G24" s="22" t="s">
        <v>46</v>
      </c>
    </row>
    <row r="25" spans="2:18" x14ac:dyDescent="0.35">
      <c r="B25" s="19" t="s">
        <v>43</v>
      </c>
      <c r="C25" s="19" t="s">
        <v>44</v>
      </c>
      <c r="D25" s="19" t="s">
        <v>45</v>
      </c>
      <c r="E25" s="19" t="s">
        <v>46</v>
      </c>
      <c r="G25" s="24" t="s">
        <v>106</v>
      </c>
    </row>
    <row r="26" spans="2:18" x14ac:dyDescent="0.35">
      <c r="B26" s="18" t="s">
        <v>49</v>
      </c>
      <c r="C26" s="18" t="s">
        <v>65</v>
      </c>
      <c r="D26" s="20">
        <v>39114</v>
      </c>
      <c r="E26" s="18">
        <v>10800</v>
      </c>
    </row>
    <row r="27" spans="2:18" x14ac:dyDescent="0.35">
      <c r="G27" t="s">
        <v>107</v>
      </c>
    </row>
    <row r="28" spans="2:18" x14ac:dyDescent="0.35">
      <c r="B28" s="19" t="s">
        <v>43</v>
      </c>
      <c r="C28" s="19" t="s">
        <v>44</v>
      </c>
      <c r="D28" s="19" t="s">
        <v>46</v>
      </c>
      <c r="G28">
        <f>DCOUNT(A1:E11,E1,G24:G25)</f>
        <v>3</v>
      </c>
    </row>
    <row r="29" spans="2:18" x14ac:dyDescent="0.35">
      <c r="B29" s="18" t="s">
        <v>52</v>
      </c>
      <c r="C29" s="18" t="s">
        <v>63</v>
      </c>
      <c r="D29" s="18">
        <v>18000</v>
      </c>
    </row>
    <row r="30" spans="2:18" x14ac:dyDescent="0.35">
      <c r="B30" s="18" t="s">
        <v>54</v>
      </c>
      <c r="C30" s="18" t="s">
        <v>61</v>
      </c>
      <c r="D30" s="18">
        <v>50650</v>
      </c>
      <c r="G30" s="22" t="s">
        <v>43</v>
      </c>
    </row>
    <row r="31" spans="2:18" x14ac:dyDescent="0.35">
      <c r="B31" s="18" t="s">
        <v>58</v>
      </c>
      <c r="C31" s="18" t="s">
        <v>61</v>
      </c>
      <c r="D31" s="18">
        <v>15664</v>
      </c>
      <c r="G31" t="s">
        <v>108</v>
      </c>
    </row>
    <row r="33" spans="7:7" x14ac:dyDescent="0.35">
      <c r="G33" t="s">
        <v>109</v>
      </c>
    </row>
    <row r="34" spans="7:7" x14ac:dyDescent="0.35">
      <c r="G34">
        <f>DMIN(A1:E11,E1,G30:G31)</f>
        <v>15664</v>
      </c>
    </row>
    <row r="36" spans="7:7" x14ac:dyDescent="0.35">
      <c r="G36" s="22" t="s">
        <v>43</v>
      </c>
    </row>
    <row r="37" spans="7:7" x14ac:dyDescent="0.35">
      <c r="G37" t="s">
        <v>110</v>
      </c>
    </row>
    <row r="39" spans="7:7" x14ac:dyDescent="0.35">
      <c r="G39" t="s">
        <v>111</v>
      </c>
    </row>
    <row r="40" spans="7:7" x14ac:dyDescent="0.35">
      <c r="G40">
        <f>DMAX(A1:E11,E1,G36:G37)</f>
        <v>94005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J39"/>
  <sheetViews>
    <sheetView topLeftCell="A12" workbookViewId="0">
      <selection activeCell="C18" sqref="C18:C23"/>
    </sheetView>
  </sheetViews>
  <sheetFormatPr defaultRowHeight="14.5" x14ac:dyDescent="0.35"/>
  <cols>
    <col min="2" max="2" width="11.90625" customWidth="1"/>
    <col min="3" max="3" width="12.90625" customWidth="1"/>
    <col min="5" max="5" width="15.6328125" customWidth="1"/>
    <col min="6" max="6" width="15.90625" customWidth="1"/>
    <col min="7" max="7" width="15.6328125" customWidth="1"/>
    <col min="8" max="8" width="8" customWidth="1"/>
    <col min="9" max="9" width="13.453125" customWidth="1"/>
    <col min="10" max="10" width="15.6328125" customWidth="1"/>
  </cols>
  <sheetData>
    <row r="1" spans="1:10" ht="44.15" customHeight="1" x14ac:dyDescent="0.35">
      <c r="A1" s="21" t="s">
        <v>73</v>
      </c>
      <c r="B1" s="21" t="s">
        <v>74</v>
      </c>
      <c r="C1" s="21" t="s">
        <v>75</v>
      </c>
      <c r="D1" s="21" t="s">
        <v>76</v>
      </c>
      <c r="E1" s="21" t="s">
        <v>77</v>
      </c>
      <c r="F1" s="21" t="s">
        <v>78</v>
      </c>
      <c r="G1" s="23" t="s">
        <v>79</v>
      </c>
    </row>
    <row r="2" spans="1:10" x14ac:dyDescent="0.35">
      <c r="A2">
        <v>1</v>
      </c>
      <c r="B2" t="s">
        <v>80</v>
      </c>
      <c r="C2" t="s">
        <v>102</v>
      </c>
      <c r="D2">
        <v>9</v>
      </c>
      <c r="E2">
        <v>1997</v>
      </c>
      <c r="F2">
        <v>2</v>
      </c>
      <c r="G2">
        <v>34</v>
      </c>
      <c r="I2" s="21" t="s">
        <v>76</v>
      </c>
      <c r="J2" s="21" t="s">
        <v>78</v>
      </c>
    </row>
    <row r="3" spans="1:10" x14ac:dyDescent="0.35">
      <c r="A3">
        <v>2</v>
      </c>
      <c r="B3" t="s">
        <v>81</v>
      </c>
      <c r="C3" t="s">
        <v>101</v>
      </c>
      <c r="D3">
        <v>10</v>
      </c>
      <c r="E3">
        <v>1997</v>
      </c>
      <c r="F3">
        <v>6</v>
      </c>
      <c r="G3">
        <v>30</v>
      </c>
      <c r="I3">
        <f>10</f>
        <v>10</v>
      </c>
      <c r="J3" t="s">
        <v>112</v>
      </c>
    </row>
    <row r="4" spans="1:10" x14ac:dyDescent="0.35">
      <c r="A4">
        <v>3</v>
      </c>
      <c r="B4" t="s">
        <v>82</v>
      </c>
      <c r="C4" t="s">
        <v>100</v>
      </c>
      <c r="D4">
        <v>11</v>
      </c>
      <c r="E4">
        <v>1996</v>
      </c>
      <c r="F4">
        <v>6</v>
      </c>
      <c r="G4">
        <v>30</v>
      </c>
    </row>
    <row r="5" spans="1:10" x14ac:dyDescent="0.35">
      <c r="A5">
        <v>4</v>
      </c>
      <c r="B5" t="s">
        <v>83</v>
      </c>
      <c r="C5" t="s">
        <v>99</v>
      </c>
      <c r="D5">
        <v>10</v>
      </c>
      <c r="E5">
        <v>1997</v>
      </c>
      <c r="F5">
        <v>12</v>
      </c>
      <c r="G5">
        <v>24</v>
      </c>
    </row>
    <row r="6" spans="1:10" x14ac:dyDescent="0.35">
      <c r="A6">
        <v>5</v>
      </c>
      <c r="B6" t="s">
        <v>84</v>
      </c>
      <c r="C6" t="s">
        <v>98</v>
      </c>
      <c r="D6">
        <v>10</v>
      </c>
      <c r="E6">
        <v>1997</v>
      </c>
      <c r="F6">
        <v>8</v>
      </c>
      <c r="G6">
        <v>28</v>
      </c>
    </row>
    <row r="7" spans="1:10" x14ac:dyDescent="0.35">
      <c r="A7">
        <v>6</v>
      </c>
      <c r="B7" t="s">
        <v>81</v>
      </c>
      <c r="C7" t="s">
        <v>97</v>
      </c>
      <c r="D7">
        <v>9</v>
      </c>
      <c r="E7">
        <v>1998</v>
      </c>
      <c r="F7">
        <v>3</v>
      </c>
      <c r="G7">
        <v>33</v>
      </c>
    </row>
    <row r="8" spans="1:10" x14ac:dyDescent="0.35">
      <c r="A8">
        <v>7</v>
      </c>
      <c r="B8" t="s">
        <v>85</v>
      </c>
      <c r="C8" t="s">
        <v>96</v>
      </c>
      <c r="D8">
        <v>10</v>
      </c>
      <c r="E8">
        <v>1997</v>
      </c>
      <c r="F8">
        <v>12</v>
      </c>
      <c r="G8">
        <v>24</v>
      </c>
    </row>
    <row r="9" spans="1:10" x14ac:dyDescent="0.35">
      <c r="A9">
        <v>8</v>
      </c>
      <c r="B9" t="s">
        <v>86</v>
      </c>
      <c r="C9" t="s">
        <v>95</v>
      </c>
      <c r="D9">
        <v>10</v>
      </c>
      <c r="E9">
        <v>1997</v>
      </c>
      <c r="F9">
        <v>6</v>
      </c>
      <c r="G9">
        <v>30</v>
      </c>
    </row>
    <row r="10" spans="1:10" x14ac:dyDescent="0.35">
      <c r="A10">
        <v>9</v>
      </c>
      <c r="B10" t="s">
        <v>81</v>
      </c>
      <c r="C10" t="s">
        <v>94</v>
      </c>
      <c r="D10">
        <v>9</v>
      </c>
      <c r="E10">
        <v>1998</v>
      </c>
      <c r="F10">
        <v>9</v>
      </c>
      <c r="G10">
        <v>27</v>
      </c>
    </row>
    <row r="11" spans="1:10" x14ac:dyDescent="0.35">
      <c r="A11">
        <v>10</v>
      </c>
      <c r="B11" t="s">
        <v>87</v>
      </c>
      <c r="C11" t="s">
        <v>93</v>
      </c>
      <c r="D11">
        <v>10</v>
      </c>
      <c r="E11">
        <v>1997</v>
      </c>
      <c r="F11">
        <v>4</v>
      </c>
      <c r="G11">
        <v>32</v>
      </c>
    </row>
    <row r="12" spans="1:10" x14ac:dyDescent="0.35">
      <c r="A12">
        <v>11</v>
      </c>
      <c r="B12" t="s">
        <v>88</v>
      </c>
      <c r="C12" t="s">
        <v>92</v>
      </c>
      <c r="D12">
        <v>9</v>
      </c>
      <c r="E12">
        <v>1998</v>
      </c>
      <c r="F12">
        <v>10</v>
      </c>
      <c r="G12">
        <v>26</v>
      </c>
    </row>
    <row r="13" spans="1:10" x14ac:dyDescent="0.35">
      <c r="A13">
        <v>12</v>
      </c>
      <c r="B13" t="s">
        <v>83</v>
      </c>
      <c r="C13" t="s">
        <v>91</v>
      </c>
      <c r="D13">
        <v>11</v>
      </c>
      <c r="E13">
        <v>1996</v>
      </c>
      <c r="F13">
        <v>8</v>
      </c>
      <c r="G13">
        <v>28</v>
      </c>
    </row>
    <row r="14" spans="1:10" x14ac:dyDescent="0.35">
      <c r="A14">
        <v>13</v>
      </c>
      <c r="B14" t="s">
        <v>84</v>
      </c>
      <c r="C14" t="s">
        <v>90</v>
      </c>
      <c r="D14">
        <v>10</v>
      </c>
      <c r="E14">
        <v>1997</v>
      </c>
      <c r="F14">
        <v>8</v>
      </c>
      <c r="G14">
        <v>28</v>
      </c>
    </row>
    <row r="15" spans="1:10" x14ac:dyDescent="0.35">
      <c r="A15">
        <v>14</v>
      </c>
      <c r="B15" t="s">
        <v>84</v>
      </c>
      <c r="C15" t="s">
        <v>89</v>
      </c>
      <c r="D15">
        <v>11</v>
      </c>
      <c r="E15">
        <v>1996</v>
      </c>
      <c r="F15">
        <v>1</v>
      </c>
      <c r="G15">
        <v>35</v>
      </c>
    </row>
    <row r="17" spans="1:7" ht="43.5" x14ac:dyDescent="0.35">
      <c r="A17" s="21" t="s">
        <v>73</v>
      </c>
      <c r="B17" s="21" t="s">
        <v>74</v>
      </c>
      <c r="C17" s="21" t="s">
        <v>75</v>
      </c>
      <c r="D17" s="21" t="s">
        <v>76</v>
      </c>
      <c r="E17" s="21" t="s">
        <v>77</v>
      </c>
      <c r="F17" s="21" t="s">
        <v>78</v>
      </c>
      <c r="G17" s="23" t="s">
        <v>79</v>
      </c>
    </row>
    <row r="18" spans="1:7" x14ac:dyDescent="0.35">
      <c r="A18">
        <v>2</v>
      </c>
      <c r="B18" t="s">
        <v>81</v>
      </c>
      <c r="C18" t="s">
        <v>101</v>
      </c>
      <c r="D18">
        <v>10</v>
      </c>
      <c r="E18">
        <v>1997</v>
      </c>
      <c r="F18">
        <v>6</v>
      </c>
      <c r="G18">
        <v>30</v>
      </c>
    </row>
    <row r="19" spans="1:7" x14ac:dyDescent="0.35">
      <c r="A19">
        <v>4</v>
      </c>
      <c r="B19" t="s">
        <v>83</v>
      </c>
      <c r="C19" t="s">
        <v>99</v>
      </c>
      <c r="D19">
        <v>10</v>
      </c>
      <c r="E19">
        <v>1997</v>
      </c>
      <c r="F19">
        <v>12</v>
      </c>
      <c r="G19">
        <v>24</v>
      </c>
    </row>
    <row r="20" spans="1:7" x14ac:dyDescent="0.35">
      <c r="A20">
        <v>5</v>
      </c>
      <c r="B20" t="s">
        <v>84</v>
      </c>
      <c r="C20" t="s">
        <v>98</v>
      </c>
      <c r="D20">
        <v>10</v>
      </c>
      <c r="E20">
        <v>1997</v>
      </c>
      <c r="F20">
        <v>8</v>
      </c>
      <c r="G20">
        <v>28</v>
      </c>
    </row>
    <row r="21" spans="1:7" x14ac:dyDescent="0.35">
      <c r="A21">
        <v>7</v>
      </c>
      <c r="B21" t="s">
        <v>85</v>
      </c>
      <c r="C21" t="s">
        <v>96</v>
      </c>
      <c r="D21">
        <v>10</v>
      </c>
      <c r="E21">
        <v>1997</v>
      </c>
      <c r="F21">
        <v>12</v>
      </c>
      <c r="G21">
        <v>24</v>
      </c>
    </row>
    <row r="22" spans="1:7" x14ac:dyDescent="0.35">
      <c r="A22">
        <v>8</v>
      </c>
      <c r="B22" t="s">
        <v>86</v>
      </c>
      <c r="C22" t="s">
        <v>95</v>
      </c>
      <c r="D22">
        <v>10</v>
      </c>
      <c r="E22">
        <v>1997</v>
      </c>
      <c r="F22">
        <v>6</v>
      </c>
      <c r="G22">
        <v>30</v>
      </c>
    </row>
    <row r="23" spans="1:7" x14ac:dyDescent="0.35">
      <c r="A23">
        <v>13</v>
      </c>
      <c r="B23" t="s">
        <v>84</v>
      </c>
      <c r="C23" t="s">
        <v>90</v>
      </c>
      <c r="D23">
        <v>10</v>
      </c>
      <c r="E23">
        <v>1997</v>
      </c>
      <c r="F23">
        <v>8</v>
      </c>
      <c r="G23">
        <v>28</v>
      </c>
    </row>
    <row r="25" spans="1:7" ht="43.5" x14ac:dyDescent="0.35">
      <c r="A25" s="21" t="s">
        <v>73</v>
      </c>
      <c r="B25" s="21" t="s">
        <v>74</v>
      </c>
      <c r="C25" s="21" t="s">
        <v>75</v>
      </c>
      <c r="D25" s="21" t="s">
        <v>76</v>
      </c>
      <c r="E25" s="21" t="s">
        <v>77</v>
      </c>
      <c r="F25" s="21" t="s">
        <v>78</v>
      </c>
      <c r="G25" s="23" t="s">
        <v>79</v>
      </c>
    </row>
    <row r="26" spans="1:7" x14ac:dyDescent="0.35">
      <c r="A26">
        <v>1</v>
      </c>
      <c r="B26" t="s">
        <v>80</v>
      </c>
      <c r="C26" t="s">
        <v>102</v>
      </c>
      <c r="D26">
        <v>9</v>
      </c>
      <c r="E26">
        <v>1997</v>
      </c>
      <c r="F26">
        <v>2</v>
      </c>
      <c r="G26">
        <v>34</v>
      </c>
    </row>
    <row r="27" spans="1:7" x14ac:dyDescent="0.35">
      <c r="A27">
        <v>2</v>
      </c>
      <c r="B27" t="s">
        <v>81</v>
      </c>
      <c r="C27" t="s">
        <v>101</v>
      </c>
      <c r="D27">
        <v>10</v>
      </c>
      <c r="E27">
        <v>1997</v>
      </c>
      <c r="F27">
        <v>6</v>
      </c>
      <c r="G27">
        <v>30</v>
      </c>
    </row>
    <row r="28" spans="1:7" x14ac:dyDescent="0.35">
      <c r="A28">
        <v>3</v>
      </c>
      <c r="B28" t="s">
        <v>82</v>
      </c>
      <c r="C28" t="s">
        <v>100</v>
      </c>
      <c r="D28">
        <v>11</v>
      </c>
      <c r="E28">
        <v>1996</v>
      </c>
      <c r="F28">
        <v>6</v>
      </c>
      <c r="G28">
        <v>30</v>
      </c>
    </row>
    <row r="29" spans="1:7" x14ac:dyDescent="0.35">
      <c r="A29">
        <v>4</v>
      </c>
      <c r="B29" t="s">
        <v>83</v>
      </c>
      <c r="C29" t="s">
        <v>99</v>
      </c>
      <c r="D29">
        <v>10</v>
      </c>
      <c r="E29">
        <v>1997</v>
      </c>
      <c r="F29">
        <v>12</v>
      </c>
      <c r="G29">
        <v>24</v>
      </c>
    </row>
    <row r="30" spans="1:7" x14ac:dyDescent="0.35">
      <c r="A30">
        <v>5</v>
      </c>
      <c r="B30" t="s">
        <v>84</v>
      </c>
      <c r="C30" t="s">
        <v>98</v>
      </c>
      <c r="D30">
        <v>10</v>
      </c>
      <c r="E30">
        <v>1997</v>
      </c>
      <c r="F30">
        <v>8</v>
      </c>
      <c r="G30">
        <v>28</v>
      </c>
    </row>
    <row r="31" spans="1:7" x14ac:dyDescent="0.35">
      <c r="A31">
        <v>6</v>
      </c>
      <c r="B31" t="s">
        <v>81</v>
      </c>
      <c r="C31" t="s">
        <v>97</v>
      </c>
      <c r="D31">
        <v>9</v>
      </c>
      <c r="E31">
        <v>1998</v>
      </c>
      <c r="F31">
        <v>3</v>
      </c>
      <c r="G31">
        <v>33</v>
      </c>
    </row>
    <row r="32" spans="1:7" x14ac:dyDescent="0.35">
      <c r="A32">
        <v>7</v>
      </c>
      <c r="B32" t="s">
        <v>85</v>
      </c>
      <c r="C32" t="s">
        <v>96</v>
      </c>
      <c r="D32">
        <v>10</v>
      </c>
      <c r="E32">
        <v>1997</v>
      </c>
      <c r="F32">
        <v>12</v>
      </c>
      <c r="G32">
        <v>24</v>
      </c>
    </row>
    <row r="33" spans="1:7" x14ac:dyDescent="0.35">
      <c r="A33">
        <v>8</v>
      </c>
      <c r="B33" t="s">
        <v>86</v>
      </c>
      <c r="C33" t="s">
        <v>95</v>
      </c>
      <c r="D33">
        <v>10</v>
      </c>
      <c r="E33">
        <v>1997</v>
      </c>
      <c r="F33">
        <v>6</v>
      </c>
      <c r="G33">
        <v>30</v>
      </c>
    </row>
    <row r="34" spans="1:7" x14ac:dyDescent="0.35">
      <c r="A34">
        <v>9</v>
      </c>
      <c r="B34" t="s">
        <v>81</v>
      </c>
      <c r="C34" t="s">
        <v>94</v>
      </c>
      <c r="D34">
        <v>9</v>
      </c>
      <c r="E34">
        <v>1998</v>
      </c>
      <c r="F34">
        <v>9</v>
      </c>
      <c r="G34">
        <v>27</v>
      </c>
    </row>
    <row r="35" spans="1:7" x14ac:dyDescent="0.35">
      <c r="A35">
        <v>10</v>
      </c>
      <c r="B35" t="s">
        <v>87</v>
      </c>
      <c r="C35" t="s">
        <v>93</v>
      </c>
      <c r="D35">
        <v>10</v>
      </c>
      <c r="E35">
        <v>1997</v>
      </c>
      <c r="F35">
        <v>4</v>
      </c>
      <c r="G35">
        <v>32</v>
      </c>
    </row>
    <row r="36" spans="1:7" x14ac:dyDescent="0.35">
      <c r="A36">
        <v>11</v>
      </c>
      <c r="B36" t="s">
        <v>88</v>
      </c>
      <c r="C36" t="s">
        <v>92</v>
      </c>
      <c r="D36">
        <v>9</v>
      </c>
      <c r="E36">
        <v>1998</v>
      </c>
      <c r="F36">
        <v>10</v>
      </c>
      <c r="G36">
        <v>26</v>
      </c>
    </row>
    <row r="37" spans="1:7" x14ac:dyDescent="0.35">
      <c r="A37">
        <v>12</v>
      </c>
      <c r="B37" t="s">
        <v>83</v>
      </c>
      <c r="C37" t="s">
        <v>91</v>
      </c>
      <c r="D37">
        <v>11</v>
      </c>
      <c r="E37">
        <v>1996</v>
      </c>
      <c r="F37">
        <v>8</v>
      </c>
      <c r="G37">
        <v>28</v>
      </c>
    </row>
    <row r="38" spans="1:7" x14ac:dyDescent="0.35">
      <c r="A38">
        <v>13</v>
      </c>
      <c r="B38" t="s">
        <v>84</v>
      </c>
      <c r="C38" t="s">
        <v>90</v>
      </c>
      <c r="D38">
        <v>10</v>
      </c>
      <c r="E38">
        <v>1997</v>
      </c>
      <c r="F38">
        <v>8</v>
      </c>
      <c r="G38">
        <v>28</v>
      </c>
    </row>
    <row r="39" spans="1:7" x14ac:dyDescent="0.35">
      <c r="A39">
        <v>14</v>
      </c>
      <c r="B39" t="s">
        <v>84</v>
      </c>
      <c r="C39" t="s">
        <v>89</v>
      </c>
      <c r="D39">
        <v>11</v>
      </c>
      <c r="E39">
        <v>1996</v>
      </c>
      <c r="F39">
        <v>1</v>
      </c>
      <c r="G39">
        <v>35</v>
      </c>
    </row>
  </sheetData>
  <autoFilter ref="A25:G38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P17"/>
  <sheetViews>
    <sheetView topLeftCell="C1" zoomScale="90" workbookViewId="0">
      <selection activeCell="I4" sqref="I4"/>
    </sheetView>
  </sheetViews>
  <sheetFormatPr defaultRowHeight="14.5" x14ac:dyDescent="0.35"/>
  <cols>
    <col min="1" max="1" width="17" customWidth="1"/>
    <col min="2" max="2" width="17.08984375" customWidth="1"/>
    <col min="3" max="3" width="16.453125" customWidth="1"/>
    <col min="6" max="6" width="15.453125" customWidth="1"/>
    <col min="7" max="7" width="22.453125" customWidth="1"/>
    <col min="9" max="9" width="23.08984375" bestFit="1" customWidth="1"/>
    <col min="10" max="10" width="13.36328125" bestFit="1" customWidth="1"/>
    <col min="11" max="15" width="11.7265625" customWidth="1"/>
    <col min="16" max="16" width="11.453125" bestFit="1" customWidth="1"/>
    <col min="17" max="18" width="11.08984375" bestFit="1" customWidth="1"/>
    <col min="19" max="19" width="8.453125" bestFit="1" customWidth="1"/>
    <col min="20" max="20" width="9.36328125" bestFit="1" customWidth="1"/>
    <col min="21" max="21" width="8.7265625" bestFit="1" customWidth="1"/>
    <col min="22" max="22" width="7.08984375" bestFit="1" customWidth="1"/>
    <col min="23" max="23" width="11.26953125" bestFit="1" customWidth="1"/>
    <col min="24" max="25" width="8.453125" bestFit="1" customWidth="1"/>
    <col min="26" max="26" width="11.08984375" bestFit="1" customWidth="1"/>
  </cols>
  <sheetData>
    <row r="1" spans="1:16" ht="16" thickBot="1" x14ac:dyDescent="0.4">
      <c r="A1" s="25" t="s">
        <v>114</v>
      </c>
      <c r="B1" s="26" t="s">
        <v>115</v>
      </c>
      <c r="C1" s="26" t="s">
        <v>116</v>
      </c>
      <c r="D1" s="26" t="s">
        <v>117</v>
      </c>
      <c r="E1" s="26" t="s">
        <v>118</v>
      </c>
      <c r="F1" s="26" t="s">
        <v>119</v>
      </c>
      <c r="G1" s="26" t="s">
        <v>120</v>
      </c>
    </row>
    <row r="2" spans="1:16" ht="16" thickBot="1" x14ac:dyDescent="0.4">
      <c r="A2" s="27" t="s">
        <v>121</v>
      </c>
      <c r="B2" s="28" t="s">
        <v>122</v>
      </c>
      <c r="C2" s="28" t="s">
        <v>123</v>
      </c>
      <c r="D2" s="28">
        <v>100</v>
      </c>
      <c r="E2" s="28">
        <v>50</v>
      </c>
      <c r="F2" s="28">
        <f>D2-E2</f>
        <v>50</v>
      </c>
      <c r="G2" s="28" t="s">
        <v>124</v>
      </c>
      <c r="I2" s="29" t="s">
        <v>120</v>
      </c>
      <c r="J2" t="s">
        <v>135</v>
      </c>
    </row>
    <row r="3" spans="1:16" ht="16" thickBot="1" x14ac:dyDescent="0.4">
      <c r="A3" s="27" t="s">
        <v>121</v>
      </c>
      <c r="B3" s="28" t="s">
        <v>125</v>
      </c>
      <c r="C3" s="28" t="s">
        <v>123</v>
      </c>
      <c r="D3" s="28">
        <v>100</v>
      </c>
      <c r="E3" s="28">
        <v>50</v>
      </c>
      <c r="F3" s="28">
        <f t="shared" ref="F3:F17" si="0">D3-E3</f>
        <v>50</v>
      </c>
      <c r="G3" s="28" t="s">
        <v>126</v>
      </c>
    </row>
    <row r="4" spans="1:16" ht="16" thickBot="1" x14ac:dyDescent="0.4">
      <c r="A4" s="27" t="s">
        <v>121</v>
      </c>
      <c r="B4" s="28" t="s">
        <v>125</v>
      </c>
      <c r="C4" s="28" t="s">
        <v>123</v>
      </c>
      <c r="D4" s="28">
        <v>100</v>
      </c>
      <c r="E4" s="28">
        <v>50</v>
      </c>
      <c r="F4" s="28">
        <f t="shared" si="0"/>
        <v>50</v>
      </c>
      <c r="G4" s="28" t="s">
        <v>126</v>
      </c>
      <c r="I4" s="29" t="s">
        <v>136</v>
      </c>
      <c r="K4" s="33" t="s">
        <v>115</v>
      </c>
    </row>
    <row r="5" spans="1:16" ht="16" thickBot="1" x14ac:dyDescent="0.4">
      <c r="A5" s="27" t="s">
        <v>121</v>
      </c>
      <c r="B5" s="28" t="s">
        <v>127</v>
      </c>
      <c r="C5" s="28" t="s">
        <v>123</v>
      </c>
      <c r="D5" s="28">
        <v>100</v>
      </c>
      <c r="E5" s="28">
        <v>50</v>
      </c>
      <c r="F5" s="28">
        <f t="shared" si="0"/>
        <v>50</v>
      </c>
      <c r="G5" s="28" t="s">
        <v>126</v>
      </c>
      <c r="I5" s="29" t="s">
        <v>116</v>
      </c>
      <c r="J5" s="29" t="s">
        <v>114</v>
      </c>
      <c r="K5" t="s">
        <v>122</v>
      </c>
      <c r="L5" t="s">
        <v>125</v>
      </c>
      <c r="M5" t="s">
        <v>130</v>
      </c>
      <c r="N5" t="s">
        <v>127</v>
      </c>
      <c r="O5" t="s">
        <v>128</v>
      </c>
      <c r="P5" t="s">
        <v>133</v>
      </c>
    </row>
    <row r="6" spans="1:16" ht="16" thickBot="1" x14ac:dyDescent="0.4">
      <c r="A6" s="27" t="s">
        <v>121</v>
      </c>
      <c r="B6" s="28" t="s">
        <v>127</v>
      </c>
      <c r="C6" s="28" t="s">
        <v>123</v>
      </c>
      <c r="D6" s="28">
        <v>100</v>
      </c>
      <c r="E6" s="28">
        <v>50</v>
      </c>
      <c r="F6" s="28">
        <f t="shared" si="0"/>
        <v>50</v>
      </c>
      <c r="G6" s="28" t="s">
        <v>126</v>
      </c>
      <c r="I6" t="s">
        <v>131</v>
      </c>
      <c r="J6" t="s">
        <v>121</v>
      </c>
      <c r="K6" s="32"/>
      <c r="L6" s="32"/>
      <c r="M6" s="32">
        <v>180</v>
      </c>
      <c r="N6" s="32"/>
      <c r="O6" s="32"/>
      <c r="P6" s="32">
        <v>180</v>
      </c>
    </row>
    <row r="7" spans="1:16" ht="16" thickBot="1" x14ac:dyDescent="0.4">
      <c r="A7" s="27" t="s">
        <v>81</v>
      </c>
      <c r="B7" s="28" t="s">
        <v>122</v>
      </c>
      <c r="C7" s="28" t="s">
        <v>123</v>
      </c>
      <c r="D7" s="28">
        <v>100</v>
      </c>
      <c r="E7" s="28">
        <v>50</v>
      </c>
      <c r="F7" s="28">
        <f t="shared" si="0"/>
        <v>50</v>
      </c>
      <c r="G7" s="28" t="s">
        <v>124</v>
      </c>
      <c r="J7" t="s">
        <v>81</v>
      </c>
      <c r="K7" s="32"/>
      <c r="L7" s="32"/>
      <c r="M7" s="32">
        <v>270</v>
      </c>
      <c r="N7" s="32"/>
      <c r="O7" s="32"/>
      <c r="P7" s="32">
        <v>270</v>
      </c>
    </row>
    <row r="8" spans="1:16" ht="16" thickBot="1" x14ac:dyDescent="0.4">
      <c r="A8" s="27" t="s">
        <v>81</v>
      </c>
      <c r="B8" s="28" t="s">
        <v>125</v>
      </c>
      <c r="C8" s="28" t="s">
        <v>123</v>
      </c>
      <c r="D8" s="28">
        <v>100</v>
      </c>
      <c r="E8" s="28">
        <v>50</v>
      </c>
      <c r="F8" s="28">
        <f t="shared" si="0"/>
        <v>50</v>
      </c>
      <c r="G8" s="28" t="s">
        <v>124</v>
      </c>
      <c r="J8" t="s">
        <v>82</v>
      </c>
      <c r="K8" s="32"/>
      <c r="L8" s="32"/>
      <c r="M8" s="32">
        <v>50</v>
      </c>
      <c r="N8" s="32"/>
      <c r="O8" s="32"/>
      <c r="P8" s="32">
        <v>50</v>
      </c>
    </row>
    <row r="9" spans="1:16" ht="16" thickBot="1" x14ac:dyDescent="0.4">
      <c r="A9" s="27" t="s">
        <v>81</v>
      </c>
      <c r="B9" s="28" t="s">
        <v>125</v>
      </c>
      <c r="C9" s="28" t="s">
        <v>123</v>
      </c>
      <c r="D9" s="28">
        <v>100</v>
      </c>
      <c r="E9" s="28">
        <v>50</v>
      </c>
      <c r="F9" s="28">
        <f t="shared" si="0"/>
        <v>50</v>
      </c>
      <c r="G9" s="28" t="s">
        <v>124</v>
      </c>
      <c r="I9" t="s">
        <v>217</v>
      </c>
      <c r="K9" s="32"/>
      <c r="L9" s="32"/>
      <c r="M9" s="32">
        <v>500</v>
      </c>
      <c r="N9" s="32"/>
      <c r="O9" s="32"/>
      <c r="P9" s="32">
        <v>500</v>
      </c>
    </row>
    <row r="10" spans="1:16" ht="16" thickBot="1" x14ac:dyDescent="0.4">
      <c r="A10" s="27" t="s">
        <v>81</v>
      </c>
      <c r="B10" s="28" t="s">
        <v>127</v>
      </c>
      <c r="C10" s="28" t="s">
        <v>123</v>
      </c>
      <c r="D10" s="28">
        <v>100</v>
      </c>
      <c r="E10" s="28">
        <v>50</v>
      </c>
      <c r="F10" s="28">
        <f t="shared" si="0"/>
        <v>50</v>
      </c>
      <c r="G10" s="28" t="s">
        <v>124</v>
      </c>
      <c r="I10" t="s">
        <v>123</v>
      </c>
      <c r="J10" t="s">
        <v>121</v>
      </c>
      <c r="K10" s="32">
        <v>50</v>
      </c>
      <c r="L10" s="32">
        <v>100</v>
      </c>
      <c r="M10" s="32"/>
      <c r="N10" s="32">
        <v>100</v>
      </c>
      <c r="O10" s="32"/>
      <c r="P10" s="32">
        <v>250</v>
      </c>
    </row>
    <row r="11" spans="1:16" ht="16" thickBot="1" x14ac:dyDescent="0.4">
      <c r="A11" s="27" t="s">
        <v>81</v>
      </c>
      <c r="B11" s="28" t="s">
        <v>127</v>
      </c>
      <c r="C11" s="28" t="s">
        <v>123</v>
      </c>
      <c r="D11" s="28">
        <v>100</v>
      </c>
      <c r="E11" s="28">
        <v>50</v>
      </c>
      <c r="F11" s="28">
        <f t="shared" si="0"/>
        <v>50</v>
      </c>
      <c r="G11" s="28" t="s">
        <v>124</v>
      </c>
      <c r="J11" t="s">
        <v>81</v>
      </c>
      <c r="K11" s="32">
        <v>50</v>
      </c>
      <c r="L11" s="32">
        <v>100</v>
      </c>
      <c r="M11" s="32"/>
      <c r="N11" s="32">
        <v>100</v>
      </c>
      <c r="O11" s="32"/>
      <c r="P11" s="32">
        <v>250</v>
      </c>
    </row>
    <row r="12" spans="1:16" ht="16" thickBot="1" x14ac:dyDescent="0.4">
      <c r="A12" s="27" t="s">
        <v>82</v>
      </c>
      <c r="B12" s="28" t="s">
        <v>128</v>
      </c>
      <c r="C12" s="28" t="s">
        <v>129</v>
      </c>
      <c r="D12" s="28">
        <v>100</v>
      </c>
      <c r="E12" s="28">
        <v>50</v>
      </c>
      <c r="F12" s="28">
        <f t="shared" si="0"/>
        <v>50</v>
      </c>
      <c r="G12" s="28" t="s">
        <v>124</v>
      </c>
      <c r="I12" t="s">
        <v>218</v>
      </c>
      <c r="K12" s="32">
        <v>100</v>
      </c>
      <c r="L12" s="32">
        <v>200</v>
      </c>
      <c r="M12" s="32"/>
      <c r="N12" s="32">
        <v>200</v>
      </c>
      <c r="O12" s="32"/>
      <c r="P12" s="32">
        <v>500</v>
      </c>
    </row>
    <row r="13" spans="1:16" ht="16" thickBot="1" x14ac:dyDescent="0.4">
      <c r="A13" s="27" t="s">
        <v>82</v>
      </c>
      <c r="B13" s="28" t="s">
        <v>122</v>
      </c>
      <c r="C13" s="28" t="s">
        <v>129</v>
      </c>
      <c r="D13" s="28">
        <v>100</v>
      </c>
      <c r="E13" s="28">
        <v>50</v>
      </c>
      <c r="F13" s="28">
        <f t="shared" si="0"/>
        <v>50</v>
      </c>
      <c r="G13" s="28" t="s">
        <v>126</v>
      </c>
      <c r="I13" t="s">
        <v>129</v>
      </c>
      <c r="J13" t="s">
        <v>121</v>
      </c>
      <c r="K13" s="32"/>
      <c r="L13" s="32">
        <v>50</v>
      </c>
      <c r="M13" s="32"/>
      <c r="N13" s="32"/>
      <c r="O13" s="32"/>
      <c r="P13" s="32">
        <v>50</v>
      </c>
    </row>
    <row r="14" spans="1:16" ht="16" thickBot="1" x14ac:dyDescent="0.4">
      <c r="A14" s="27" t="s">
        <v>121</v>
      </c>
      <c r="B14" s="28" t="s">
        <v>125</v>
      </c>
      <c r="C14" s="28" t="s">
        <v>129</v>
      </c>
      <c r="D14" s="28">
        <v>100</v>
      </c>
      <c r="E14" s="28">
        <v>50</v>
      </c>
      <c r="F14" s="28">
        <f t="shared" si="0"/>
        <v>50</v>
      </c>
      <c r="G14" s="28" t="s">
        <v>126</v>
      </c>
      <c r="J14" t="s">
        <v>82</v>
      </c>
      <c r="K14" s="32">
        <v>50</v>
      </c>
      <c r="L14" s="32"/>
      <c r="M14" s="32"/>
      <c r="N14" s="32"/>
      <c r="O14" s="32">
        <v>50</v>
      </c>
      <c r="P14" s="32">
        <v>100</v>
      </c>
    </row>
    <row r="15" spans="1:16" ht="16" thickBot="1" x14ac:dyDescent="0.4">
      <c r="A15" s="27" t="s">
        <v>121</v>
      </c>
      <c r="B15" s="28" t="s">
        <v>130</v>
      </c>
      <c r="C15" s="28" t="s">
        <v>131</v>
      </c>
      <c r="D15" s="28">
        <v>200</v>
      </c>
      <c r="E15" s="28">
        <v>20</v>
      </c>
      <c r="F15" s="28">
        <f t="shared" si="0"/>
        <v>180</v>
      </c>
      <c r="G15" s="28" t="s">
        <v>126</v>
      </c>
      <c r="I15" t="s">
        <v>219</v>
      </c>
      <c r="K15" s="32">
        <v>50</v>
      </c>
      <c r="L15" s="32">
        <v>50</v>
      </c>
      <c r="M15" s="32"/>
      <c r="N15" s="32"/>
      <c r="O15" s="32">
        <v>50</v>
      </c>
      <c r="P15" s="32">
        <v>150</v>
      </c>
    </row>
    <row r="16" spans="1:16" ht="16" thickBot="1" x14ac:dyDescent="0.4">
      <c r="A16" s="27" t="s">
        <v>81</v>
      </c>
      <c r="B16" s="28" t="s">
        <v>130</v>
      </c>
      <c r="C16" s="28" t="s">
        <v>131</v>
      </c>
      <c r="D16" s="28">
        <v>300</v>
      </c>
      <c r="E16" s="28">
        <v>30</v>
      </c>
      <c r="F16" s="28">
        <f t="shared" si="0"/>
        <v>270</v>
      </c>
      <c r="G16" s="28" t="s">
        <v>124</v>
      </c>
    </row>
    <row r="17" spans="1:7" ht="16" thickBot="1" x14ac:dyDescent="0.4">
      <c r="A17" s="27" t="s">
        <v>82</v>
      </c>
      <c r="B17" s="28" t="s">
        <v>130</v>
      </c>
      <c r="C17" s="28" t="s">
        <v>131</v>
      </c>
      <c r="D17" s="28">
        <v>150</v>
      </c>
      <c r="E17" s="28">
        <v>100</v>
      </c>
      <c r="F17" s="28">
        <f t="shared" si="0"/>
        <v>50</v>
      </c>
      <c r="G17" s="28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D15"/>
  <sheetViews>
    <sheetView workbookViewId="0"/>
  </sheetViews>
  <sheetFormatPr defaultRowHeight="14.5" x14ac:dyDescent="0.35"/>
  <cols>
    <col min="1" max="1" width="22.6328125" bestFit="1" customWidth="1"/>
    <col min="2" max="2" width="8.6328125" bestFit="1" customWidth="1"/>
    <col min="3" max="3" width="6.90625" bestFit="1" customWidth="1"/>
    <col min="4" max="4" width="10.90625" bestFit="1" customWidth="1"/>
    <col min="5" max="5" width="12.08984375" bestFit="1" customWidth="1"/>
    <col min="6" max="6" width="9.6328125" bestFit="1" customWidth="1"/>
    <col min="7" max="7" width="4.08984375" bestFit="1" customWidth="1"/>
    <col min="8" max="8" width="12.08984375" bestFit="1" customWidth="1"/>
    <col min="9" max="10" width="10.90625" bestFit="1" customWidth="1"/>
  </cols>
  <sheetData>
    <row r="1" spans="1:4" x14ac:dyDescent="0.35">
      <c r="A1" s="29" t="s">
        <v>120</v>
      </c>
      <c r="B1" t="s">
        <v>135</v>
      </c>
    </row>
    <row r="3" spans="1:4" x14ac:dyDescent="0.35">
      <c r="A3" s="29" t="s">
        <v>136</v>
      </c>
      <c r="B3" s="29" t="s">
        <v>137</v>
      </c>
    </row>
    <row r="4" spans="1:4" x14ac:dyDescent="0.35">
      <c r="A4" s="29" t="s">
        <v>138</v>
      </c>
      <c r="B4" t="s">
        <v>139</v>
      </c>
      <c r="C4" t="s">
        <v>140</v>
      </c>
      <c r="D4" t="s">
        <v>133</v>
      </c>
    </row>
    <row r="5" spans="1:4" x14ac:dyDescent="0.35">
      <c r="A5" s="30" t="s">
        <v>131</v>
      </c>
      <c r="B5" s="32">
        <v>500</v>
      </c>
      <c r="C5" s="32"/>
      <c r="D5" s="32">
        <v>500</v>
      </c>
    </row>
    <row r="6" spans="1:4" x14ac:dyDescent="0.35">
      <c r="A6" s="31" t="s">
        <v>121</v>
      </c>
      <c r="B6" s="32">
        <v>180</v>
      </c>
      <c r="C6" s="32"/>
      <c r="D6" s="32">
        <v>180</v>
      </c>
    </row>
    <row r="7" spans="1:4" x14ac:dyDescent="0.35">
      <c r="A7" s="31" t="s">
        <v>81</v>
      </c>
      <c r="B7" s="32">
        <v>270</v>
      </c>
      <c r="C7" s="32"/>
      <c r="D7" s="32">
        <v>270</v>
      </c>
    </row>
    <row r="8" spans="1:4" x14ac:dyDescent="0.35">
      <c r="A8" s="31" t="s">
        <v>82</v>
      </c>
      <c r="B8" s="32">
        <v>50</v>
      </c>
      <c r="C8" s="32"/>
      <c r="D8" s="32">
        <v>50</v>
      </c>
    </row>
    <row r="9" spans="1:4" x14ac:dyDescent="0.35">
      <c r="A9" s="30" t="s">
        <v>123</v>
      </c>
      <c r="B9" s="32">
        <v>300</v>
      </c>
      <c r="C9" s="32">
        <v>200</v>
      </c>
      <c r="D9" s="32">
        <v>500</v>
      </c>
    </row>
    <row r="10" spans="1:4" x14ac:dyDescent="0.35">
      <c r="A10" s="31" t="s">
        <v>121</v>
      </c>
      <c r="B10" s="32">
        <v>150</v>
      </c>
      <c r="C10" s="32">
        <v>100</v>
      </c>
      <c r="D10" s="32">
        <v>250</v>
      </c>
    </row>
    <row r="11" spans="1:4" x14ac:dyDescent="0.35">
      <c r="A11" s="31" t="s">
        <v>81</v>
      </c>
      <c r="B11" s="32">
        <v>150</v>
      </c>
      <c r="C11" s="32">
        <v>100</v>
      </c>
      <c r="D11" s="32">
        <v>250</v>
      </c>
    </row>
    <row r="12" spans="1:4" x14ac:dyDescent="0.35">
      <c r="A12" s="30" t="s">
        <v>129</v>
      </c>
      <c r="B12" s="32">
        <v>100</v>
      </c>
      <c r="C12" s="32">
        <v>50</v>
      </c>
      <c r="D12" s="32">
        <v>150</v>
      </c>
    </row>
    <row r="13" spans="1:4" x14ac:dyDescent="0.35">
      <c r="A13" s="31" t="s">
        <v>121</v>
      </c>
      <c r="B13" s="32">
        <v>50</v>
      </c>
      <c r="C13" s="32"/>
      <c r="D13" s="32">
        <v>50</v>
      </c>
    </row>
    <row r="14" spans="1:4" x14ac:dyDescent="0.35">
      <c r="A14" s="31" t="s">
        <v>82</v>
      </c>
      <c r="B14" s="32">
        <v>50</v>
      </c>
      <c r="C14" s="32">
        <v>50</v>
      </c>
      <c r="D14" s="32">
        <v>100</v>
      </c>
    </row>
    <row r="15" spans="1:4" x14ac:dyDescent="0.35">
      <c r="A15" s="30" t="s">
        <v>133</v>
      </c>
      <c r="B15" s="32">
        <v>900</v>
      </c>
      <c r="C15" s="32">
        <v>250</v>
      </c>
      <c r="D15" s="32">
        <v>1150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G15"/>
  <sheetViews>
    <sheetView workbookViewId="0">
      <selection activeCell="H8" sqref="H8"/>
    </sheetView>
  </sheetViews>
  <sheetFormatPr defaultRowHeight="14.5" x14ac:dyDescent="0.35"/>
  <cols>
    <col min="1" max="1" width="22.6328125" customWidth="1"/>
    <col min="2" max="2" width="14.08984375" customWidth="1"/>
    <col min="5" max="5" width="17.36328125" customWidth="1"/>
    <col min="7" max="7" width="16.08984375" customWidth="1"/>
  </cols>
  <sheetData>
    <row r="1" spans="1:7" x14ac:dyDescent="0.35">
      <c r="A1" s="29" t="s">
        <v>120</v>
      </c>
      <c r="B1" t="s">
        <v>135</v>
      </c>
    </row>
    <row r="3" spans="1:7" x14ac:dyDescent="0.35">
      <c r="A3" s="29" t="s">
        <v>136</v>
      </c>
      <c r="B3" s="33" t="s">
        <v>137</v>
      </c>
    </row>
    <row r="4" spans="1:7" x14ac:dyDescent="0.35">
      <c r="A4" s="29" t="s">
        <v>138</v>
      </c>
      <c r="B4" t="s">
        <v>122</v>
      </c>
      <c r="C4" t="s">
        <v>125</v>
      </c>
      <c r="D4" t="s">
        <v>130</v>
      </c>
      <c r="E4" t="s">
        <v>127</v>
      </c>
      <c r="F4" t="s">
        <v>128</v>
      </c>
      <c r="G4" t="s">
        <v>133</v>
      </c>
    </row>
    <row r="5" spans="1:7" x14ac:dyDescent="0.35">
      <c r="A5" s="30" t="s">
        <v>131</v>
      </c>
      <c r="B5" s="32"/>
      <c r="C5" s="32"/>
      <c r="D5" s="32">
        <v>500</v>
      </c>
      <c r="E5" s="32"/>
      <c r="F5" s="32"/>
      <c r="G5" s="32">
        <v>500</v>
      </c>
    </row>
    <row r="6" spans="1:7" x14ac:dyDescent="0.35">
      <c r="A6" s="31" t="s">
        <v>121</v>
      </c>
      <c r="B6" s="32"/>
      <c r="C6" s="32"/>
      <c r="D6" s="32">
        <v>180</v>
      </c>
      <c r="E6" s="32"/>
      <c r="F6" s="32"/>
      <c r="G6" s="32">
        <v>180</v>
      </c>
    </row>
    <row r="7" spans="1:7" x14ac:dyDescent="0.35">
      <c r="A7" s="31" t="s">
        <v>81</v>
      </c>
      <c r="B7" s="32"/>
      <c r="C7" s="32"/>
      <c r="D7" s="32">
        <v>270</v>
      </c>
      <c r="E7" s="32"/>
      <c r="F7" s="32"/>
      <c r="G7" s="32">
        <v>270</v>
      </c>
    </row>
    <row r="8" spans="1:7" x14ac:dyDescent="0.35">
      <c r="A8" s="31" t="s">
        <v>82</v>
      </c>
      <c r="B8" s="32"/>
      <c r="C8" s="32"/>
      <c r="D8" s="32">
        <v>50</v>
      </c>
      <c r="E8" s="32"/>
      <c r="F8" s="32"/>
      <c r="G8" s="32">
        <v>50</v>
      </c>
    </row>
    <row r="9" spans="1:7" x14ac:dyDescent="0.35">
      <c r="A9" s="30" t="s">
        <v>123</v>
      </c>
      <c r="B9" s="32">
        <v>100</v>
      </c>
      <c r="C9" s="32">
        <v>200</v>
      </c>
      <c r="D9" s="32"/>
      <c r="E9" s="32">
        <v>200</v>
      </c>
      <c r="F9" s="32"/>
      <c r="G9" s="32">
        <v>500</v>
      </c>
    </row>
    <row r="10" spans="1:7" x14ac:dyDescent="0.35">
      <c r="A10" s="31" t="s">
        <v>121</v>
      </c>
      <c r="B10" s="32">
        <v>50</v>
      </c>
      <c r="C10" s="32">
        <v>100</v>
      </c>
      <c r="D10" s="32"/>
      <c r="E10" s="32">
        <v>100</v>
      </c>
      <c r="F10" s="32"/>
      <c r="G10" s="32">
        <v>250</v>
      </c>
    </row>
    <row r="11" spans="1:7" x14ac:dyDescent="0.35">
      <c r="A11" s="31" t="s">
        <v>81</v>
      </c>
      <c r="B11" s="32">
        <v>50</v>
      </c>
      <c r="C11" s="32">
        <v>100</v>
      </c>
      <c r="D11" s="32"/>
      <c r="E11" s="32">
        <v>100</v>
      </c>
      <c r="F11" s="32"/>
      <c r="G11" s="32">
        <v>250</v>
      </c>
    </row>
    <row r="12" spans="1:7" x14ac:dyDescent="0.35">
      <c r="A12" s="30" t="s">
        <v>129</v>
      </c>
      <c r="B12" s="32">
        <v>50</v>
      </c>
      <c r="C12" s="32">
        <v>50</v>
      </c>
      <c r="D12" s="32"/>
      <c r="E12" s="32"/>
      <c r="F12" s="32">
        <v>50</v>
      </c>
      <c r="G12" s="32">
        <v>150</v>
      </c>
    </row>
    <row r="13" spans="1:7" x14ac:dyDescent="0.35">
      <c r="A13" s="31" t="s">
        <v>121</v>
      </c>
      <c r="B13" s="32"/>
      <c r="C13" s="32">
        <v>50</v>
      </c>
      <c r="D13" s="32"/>
      <c r="E13" s="32"/>
      <c r="F13" s="32"/>
      <c r="G13" s="32">
        <v>50</v>
      </c>
    </row>
    <row r="14" spans="1:7" x14ac:dyDescent="0.35">
      <c r="A14" s="31" t="s">
        <v>82</v>
      </c>
      <c r="B14" s="32">
        <v>50</v>
      </c>
      <c r="C14" s="32"/>
      <c r="D14" s="32"/>
      <c r="E14" s="32"/>
      <c r="F14" s="32">
        <v>50</v>
      </c>
      <c r="G14" s="32">
        <v>100</v>
      </c>
    </row>
    <row r="15" spans="1:7" x14ac:dyDescent="0.35">
      <c r="A15" s="30" t="s">
        <v>133</v>
      </c>
      <c r="B15" s="32">
        <v>150</v>
      </c>
      <c r="C15" s="32">
        <v>250</v>
      </c>
      <c r="D15" s="32">
        <v>500</v>
      </c>
      <c r="E15" s="32">
        <v>200</v>
      </c>
      <c r="F15" s="32">
        <v>50</v>
      </c>
      <c r="G15" s="32">
        <v>1150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E29"/>
  <sheetViews>
    <sheetView workbookViewId="0">
      <selection activeCell="B25" sqref="B25"/>
    </sheetView>
  </sheetViews>
  <sheetFormatPr defaultRowHeight="14.5" x14ac:dyDescent="0.35"/>
  <cols>
    <col min="1" max="1" width="15.453125" customWidth="1"/>
    <col min="4" max="4" width="16.90625" bestFit="1" customWidth="1"/>
    <col min="5" max="5" width="26.90625" bestFit="1" customWidth="1"/>
  </cols>
  <sheetData>
    <row r="1" spans="1:5" x14ac:dyDescent="0.35">
      <c r="A1" t="s">
        <v>74</v>
      </c>
      <c r="B1" t="s">
        <v>141</v>
      </c>
    </row>
    <row r="2" spans="1:5" x14ac:dyDescent="0.35">
      <c r="A2" t="s">
        <v>142</v>
      </c>
      <c r="B2">
        <v>0</v>
      </c>
    </row>
    <row r="3" spans="1:5" x14ac:dyDescent="0.35">
      <c r="A3" t="s">
        <v>81</v>
      </c>
      <c r="B3">
        <v>4</v>
      </c>
      <c r="D3" s="29" t="s">
        <v>132</v>
      </c>
      <c r="E3" t="s">
        <v>155</v>
      </c>
    </row>
    <row r="4" spans="1:5" x14ac:dyDescent="0.35">
      <c r="A4" t="s">
        <v>143</v>
      </c>
      <c r="B4">
        <v>6</v>
      </c>
      <c r="D4" s="30" t="s">
        <v>156</v>
      </c>
      <c r="E4" s="32">
        <v>12</v>
      </c>
    </row>
    <row r="5" spans="1:5" x14ac:dyDescent="0.35">
      <c r="A5" t="s">
        <v>81</v>
      </c>
      <c r="B5">
        <v>2</v>
      </c>
      <c r="D5" s="30" t="s">
        <v>157</v>
      </c>
      <c r="E5" s="32">
        <v>16</v>
      </c>
    </row>
    <row r="6" spans="1:5" x14ac:dyDescent="0.35">
      <c r="A6" t="s">
        <v>144</v>
      </c>
      <c r="B6">
        <v>5</v>
      </c>
      <c r="D6" s="30" t="s">
        <v>133</v>
      </c>
      <c r="E6" s="32">
        <v>28</v>
      </c>
    </row>
    <row r="7" spans="1:5" x14ac:dyDescent="0.35">
      <c r="A7" t="s">
        <v>93</v>
      </c>
      <c r="B7">
        <v>9</v>
      </c>
    </row>
    <row r="8" spans="1:5" x14ac:dyDescent="0.35">
      <c r="A8" t="s">
        <v>145</v>
      </c>
      <c r="B8">
        <v>7</v>
      </c>
    </row>
    <row r="9" spans="1:5" x14ac:dyDescent="0.35">
      <c r="A9" t="s">
        <v>146</v>
      </c>
      <c r="B9">
        <v>5</v>
      </c>
    </row>
    <row r="10" spans="1:5" x14ac:dyDescent="0.35">
      <c r="A10" t="s">
        <v>147</v>
      </c>
      <c r="B10">
        <v>4</v>
      </c>
    </row>
    <row r="11" spans="1:5" x14ac:dyDescent="0.35">
      <c r="A11" t="s">
        <v>148</v>
      </c>
      <c r="B11">
        <v>2</v>
      </c>
    </row>
    <row r="12" spans="1:5" x14ac:dyDescent="0.35">
      <c r="A12" t="s">
        <v>83</v>
      </c>
      <c r="B12">
        <v>3</v>
      </c>
    </row>
    <row r="13" spans="1:5" x14ac:dyDescent="0.35">
      <c r="A13" t="s">
        <v>149</v>
      </c>
      <c r="B13">
        <v>0</v>
      </c>
    </row>
    <row r="14" spans="1:5" x14ac:dyDescent="0.35">
      <c r="A14" t="s">
        <v>80</v>
      </c>
      <c r="B14">
        <v>1</v>
      </c>
    </row>
    <row r="15" spans="1:5" x14ac:dyDescent="0.35">
      <c r="A15" t="s">
        <v>81</v>
      </c>
      <c r="B15">
        <v>5</v>
      </c>
    </row>
    <row r="16" spans="1:5" x14ac:dyDescent="0.35">
      <c r="A16" t="s">
        <v>82</v>
      </c>
      <c r="B16">
        <v>3</v>
      </c>
    </row>
    <row r="17" spans="1:2" x14ac:dyDescent="0.35">
      <c r="A17" t="s">
        <v>83</v>
      </c>
      <c r="B17">
        <v>8</v>
      </c>
    </row>
    <row r="18" spans="1:2" x14ac:dyDescent="0.35">
      <c r="A18" t="s">
        <v>84</v>
      </c>
      <c r="B18">
        <v>7</v>
      </c>
    </row>
    <row r="19" spans="1:2" x14ac:dyDescent="0.35">
      <c r="A19" t="s">
        <v>101</v>
      </c>
      <c r="B19">
        <v>5</v>
      </c>
    </row>
    <row r="20" spans="1:2" x14ac:dyDescent="0.35">
      <c r="A20" t="s">
        <v>99</v>
      </c>
      <c r="B20">
        <v>8</v>
      </c>
    </row>
    <row r="21" spans="1:2" x14ac:dyDescent="0.35">
      <c r="A21" t="s">
        <v>98</v>
      </c>
      <c r="B21">
        <v>9</v>
      </c>
    </row>
    <row r="22" spans="1:2" x14ac:dyDescent="0.35">
      <c r="A22" t="s">
        <v>96</v>
      </c>
      <c r="B22">
        <v>5</v>
      </c>
    </row>
    <row r="23" spans="1:2" x14ac:dyDescent="0.35">
      <c r="A23" t="s">
        <v>95</v>
      </c>
      <c r="B23">
        <v>5</v>
      </c>
    </row>
    <row r="24" spans="1:2" x14ac:dyDescent="0.35">
      <c r="A24" t="s">
        <v>90</v>
      </c>
      <c r="B24">
        <v>4</v>
      </c>
    </row>
    <row r="25" spans="1:2" x14ac:dyDescent="0.35">
      <c r="A25" s="18" t="s">
        <v>154</v>
      </c>
      <c r="B25">
        <v>7</v>
      </c>
    </row>
    <row r="26" spans="1:2" x14ac:dyDescent="0.35">
      <c r="A26" s="18" t="s">
        <v>153</v>
      </c>
      <c r="B26">
        <v>3</v>
      </c>
    </row>
    <row r="27" spans="1:2" x14ac:dyDescent="0.35">
      <c r="A27" s="18" t="s">
        <v>152</v>
      </c>
      <c r="B27">
        <v>2</v>
      </c>
    </row>
    <row r="28" spans="1:2" x14ac:dyDescent="0.35">
      <c r="A28" s="18" t="s">
        <v>151</v>
      </c>
      <c r="B28">
        <v>7</v>
      </c>
    </row>
    <row r="29" spans="1:2" x14ac:dyDescent="0.35">
      <c r="A29" s="18" t="s">
        <v>150</v>
      </c>
      <c r="B29">
        <v>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3"/>
  <sheetViews>
    <sheetView zoomScale="70" zoomScaleNormal="70" workbookViewId="0">
      <selection activeCell="H53" sqref="H53"/>
    </sheetView>
  </sheetViews>
  <sheetFormatPr defaultColWidth="26.453125" defaultRowHeight="16" customHeight="1" x14ac:dyDescent="0.35"/>
  <cols>
    <col min="8" max="8" width="40.90625" customWidth="1"/>
    <col min="9" max="9" width="21" customWidth="1"/>
    <col min="10" max="10" width="18.453125" customWidth="1"/>
    <col min="11" max="11" width="7.7265625" customWidth="1"/>
    <col min="12" max="12" width="11.453125" customWidth="1"/>
    <col min="13" max="13" width="19" customWidth="1"/>
    <col min="14" max="14" width="14.26953125" customWidth="1"/>
    <col min="15" max="15" width="18.90625" customWidth="1"/>
    <col min="16" max="16" width="7.7265625" customWidth="1"/>
    <col min="17" max="17" width="12.08984375" customWidth="1"/>
    <col min="18" max="18" width="10.90625" bestFit="1" customWidth="1"/>
    <col min="19" max="19" width="25.6328125" bestFit="1" customWidth="1"/>
    <col min="20" max="20" width="30.08984375" bestFit="1" customWidth="1"/>
    <col min="21" max="21" width="33.08984375" bestFit="1" customWidth="1"/>
    <col min="22" max="22" width="25.6328125" bestFit="1" customWidth="1"/>
    <col min="23" max="23" width="30.08984375" bestFit="1" customWidth="1"/>
    <col min="24" max="24" width="33.08984375" bestFit="1" customWidth="1"/>
    <col min="25" max="25" width="25.6328125" bestFit="1" customWidth="1"/>
    <col min="26" max="26" width="30.08984375" bestFit="1" customWidth="1"/>
    <col min="27" max="27" width="33.08984375" bestFit="1" customWidth="1"/>
    <col min="28" max="28" width="25.6328125" bestFit="1" customWidth="1"/>
    <col min="29" max="29" width="30.08984375" bestFit="1" customWidth="1"/>
    <col min="30" max="30" width="33.08984375" bestFit="1" customWidth="1"/>
    <col min="31" max="31" width="25.6328125" bestFit="1" customWidth="1"/>
    <col min="32" max="32" width="30.08984375" bestFit="1" customWidth="1"/>
    <col min="33" max="33" width="33.08984375" bestFit="1" customWidth="1"/>
    <col min="34" max="34" width="25.6328125" bestFit="1" customWidth="1"/>
    <col min="35" max="35" width="30.08984375" bestFit="1" customWidth="1"/>
    <col min="36" max="36" width="37.453125" bestFit="1" customWidth="1"/>
    <col min="37" max="37" width="29.90625" bestFit="1" customWidth="1"/>
    <col min="38" max="38" width="34.36328125" bestFit="1" customWidth="1"/>
  </cols>
  <sheetData>
    <row r="1" spans="1:12" ht="16" customHeight="1" x14ac:dyDescent="0.35">
      <c r="A1" s="107" t="s">
        <v>158</v>
      </c>
      <c r="B1" s="109" t="s">
        <v>159</v>
      </c>
      <c r="C1" s="111" t="s">
        <v>160</v>
      </c>
      <c r="D1" s="113" t="s">
        <v>161</v>
      </c>
      <c r="E1" s="34" t="s">
        <v>162</v>
      </c>
      <c r="F1" s="109" t="s">
        <v>163</v>
      </c>
    </row>
    <row r="2" spans="1:12" ht="16" customHeight="1" thickBot="1" x14ac:dyDescent="0.4">
      <c r="A2" s="108"/>
      <c r="B2" s="110"/>
      <c r="C2" s="112"/>
      <c r="D2" s="114"/>
      <c r="E2" s="35" t="s">
        <v>164</v>
      </c>
      <c r="F2" s="115"/>
      <c r="I2" s="29" t="s">
        <v>134</v>
      </c>
    </row>
    <row r="3" spans="1:12" ht="16" customHeight="1" thickBot="1" x14ac:dyDescent="0.4">
      <c r="A3" s="36">
        <v>10000</v>
      </c>
      <c r="B3" s="37" t="s">
        <v>165</v>
      </c>
      <c r="C3" s="37" t="s">
        <v>166</v>
      </c>
      <c r="D3" s="38">
        <v>10</v>
      </c>
      <c r="E3" s="39">
        <v>15.95</v>
      </c>
      <c r="F3" s="40">
        <f>D3*E3</f>
        <v>159.5</v>
      </c>
      <c r="H3" s="29" t="s">
        <v>132</v>
      </c>
      <c r="I3" t="s">
        <v>187</v>
      </c>
      <c r="J3" t="s">
        <v>168</v>
      </c>
      <c r="K3" t="s">
        <v>183</v>
      </c>
      <c r="L3" t="s">
        <v>133</v>
      </c>
    </row>
    <row r="4" spans="1:12" ht="16" customHeight="1" thickBot="1" x14ac:dyDescent="0.4">
      <c r="A4" s="36">
        <v>10001</v>
      </c>
      <c r="B4" s="37" t="s">
        <v>167</v>
      </c>
      <c r="C4" s="37" t="s">
        <v>168</v>
      </c>
      <c r="D4" s="38">
        <v>10</v>
      </c>
      <c r="E4" s="39">
        <v>17.55</v>
      </c>
      <c r="F4" s="40">
        <f t="shared" ref="F4:F53" si="0">D4*E4</f>
        <v>175.5</v>
      </c>
      <c r="H4" s="30" t="s">
        <v>178</v>
      </c>
      <c r="I4" s="32"/>
      <c r="J4" s="32"/>
      <c r="K4" s="32"/>
      <c r="L4" s="32"/>
    </row>
    <row r="5" spans="1:12" ht="16" customHeight="1" thickBot="1" x14ac:dyDescent="0.4">
      <c r="A5" s="36">
        <v>10002</v>
      </c>
      <c r="B5" s="37" t="s">
        <v>169</v>
      </c>
      <c r="C5" s="37" t="s">
        <v>170</v>
      </c>
      <c r="D5" s="38">
        <v>47</v>
      </c>
      <c r="E5" s="39">
        <v>22.2</v>
      </c>
      <c r="F5" s="40">
        <f t="shared" si="0"/>
        <v>1043.3999999999999</v>
      </c>
      <c r="H5" s="31" t="s">
        <v>208</v>
      </c>
      <c r="I5" s="32"/>
      <c r="J5" s="32">
        <v>13</v>
      </c>
      <c r="K5" s="32"/>
      <c r="L5" s="32">
        <v>13</v>
      </c>
    </row>
    <row r="6" spans="1:12" ht="16" customHeight="1" thickBot="1" x14ac:dyDescent="0.4">
      <c r="A6" s="36">
        <v>10003</v>
      </c>
      <c r="B6" s="37" t="s">
        <v>171</v>
      </c>
      <c r="C6" s="37" t="s">
        <v>172</v>
      </c>
      <c r="D6" s="38">
        <v>13</v>
      </c>
      <c r="E6" s="39">
        <v>26</v>
      </c>
      <c r="F6" s="40">
        <f t="shared" si="0"/>
        <v>338</v>
      </c>
      <c r="H6" s="31" t="s">
        <v>212</v>
      </c>
      <c r="I6" s="32"/>
      <c r="J6" s="32">
        <v>17.55</v>
      </c>
      <c r="K6" s="32"/>
      <c r="L6" s="32">
        <v>17.55</v>
      </c>
    </row>
    <row r="7" spans="1:12" ht="16" customHeight="1" thickBot="1" x14ac:dyDescent="0.4">
      <c r="A7" s="36">
        <v>10004</v>
      </c>
      <c r="B7" s="37" t="s">
        <v>173</v>
      </c>
      <c r="C7" s="37" t="s">
        <v>170</v>
      </c>
      <c r="D7" s="38">
        <v>45</v>
      </c>
      <c r="E7" s="39">
        <v>22.2</v>
      </c>
      <c r="F7" s="40">
        <f t="shared" si="0"/>
        <v>999</v>
      </c>
      <c r="H7" s="31" t="s">
        <v>211</v>
      </c>
      <c r="I7" s="32"/>
      <c r="J7" s="32">
        <v>228.15</v>
      </c>
      <c r="K7" s="32"/>
      <c r="L7" s="32">
        <v>228.15</v>
      </c>
    </row>
    <row r="8" spans="1:12" ht="16" customHeight="1" thickBot="1" x14ac:dyDescent="0.4">
      <c r="A8" s="36">
        <v>10005</v>
      </c>
      <c r="B8" s="37" t="s">
        <v>174</v>
      </c>
      <c r="C8" s="37" t="s">
        <v>172</v>
      </c>
      <c r="D8" s="38">
        <v>35</v>
      </c>
      <c r="E8" s="39">
        <v>25</v>
      </c>
      <c r="F8" s="40">
        <f t="shared" si="0"/>
        <v>875</v>
      </c>
      <c r="H8" s="30" t="s">
        <v>199</v>
      </c>
      <c r="I8" s="32"/>
      <c r="J8" s="32"/>
      <c r="K8" s="32"/>
      <c r="L8" s="32"/>
    </row>
    <row r="9" spans="1:12" ht="16" customHeight="1" thickBot="1" x14ac:dyDescent="0.4">
      <c r="A9" s="36">
        <v>10006</v>
      </c>
      <c r="B9" s="37" t="s">
        <v>175</v>
      </c>
      <c r="C9" s="37" t="s">
        <v>176</v>
      </c>
      <c r="D9" s="38">
        <v>125</v>
      </c>
      <c r="E9" s="39">
        <v>31</v>
      </c>
      <c r="F9" s="40">
        <f t="shared" si="0"/>
        <v>3875</v>
      </c>
      <c r="H9" s="31" t="s">
        <v>208</v>
      </c>
      <c r="I9" s="32"/>
      <c r="J9" s="32"/>
      <c r="K9" s="32">
        <v>22</v>
      </c>
      <c r="L9" s="32">
        <v>22</v>
      </c>
    </row>
    <row r="10" spans="1:12" ht="16" customHeight="1" thickBot="1" x14ac:dyDescent="0.4">
      <c r="A10" s="36">
        <v>10007</v>
      </c>
      <c r="B10" s="37" t="s">
        <v>177</v>
      </c>
      <c r="C10" s="37" t="s">
        <v>170</v>
      </c>
      <c r="D10" s="38">
        <v>11</v>
      </c>
      <c r="E10" s="39">
        <v>23.5</v>
      </c>
      <c r="F10" s="40">
        <f t="shared" si="0"/>
        <v>258.5</v>
      </c>
      <c r="H10" s="31" t="s">
        <v>212</v>
      </c>
      <c r="I10" s="32"/>
      <c r="J10" s="32"/>
      <c r="K10" s="32">
        <v>21.25</v>
      </c>
      <c r="L10" s="32">
        <v>21.25</v>
      </c>
    </row>
    <row r="11" spans="1:12" ht="16" customHeight="1" thickBot="1" x14ac:dyDescent="0.4">
      <c r="A11" s="36">
        <v>10008</v>
      </c>
      <c r="B11" s="37" t="s">
        <v>178</v>
      </c>
      <c r="C11" s="37" t="s">
        <v>168</v>
      </c>
      <c r="D11" s="38">
        <v>13</v>
      </c>
      <c r="E11" s="39">
        <v>17.55</v>
      </c>
      <c r="F11" s="40">
        <f t="shared" si="0"/>
        <v>228.15</v>
      </c>
      <c r="H11" s="31" t="s">
        <v>211</v>
      </c>
      <c r="I11" s="32"/>
      <c r="J11" s="32"/>
      <c r="K11" s="32">
        <v>467.5</v>
      </c>
      <c r="L11" s="32">
        <v>467.5</v>
      </c>
    </row>
    <row r="12" spans="1:12" ht="16" customHeight="1" thickBot="1" x14ac:dyDescent="0.4">
      <c r="A12" s="36">
        <v>10009</v>
      </c>
      <c r="B12" s="37" t="s">
        <v>171</v>
      </c>
      <c r="C12" s="37" t="s">
        <v>176</v>
      </c>
      <c r="D12" s="38">
        <v>45</v>
      </c>
      <c r="E12" s="39">
        <v>33.4</v>
      </c>
      <c r="F12" s="40">
        <f t="shared" si="0"/>
        <v>1503</v>
      </c>
      <c r="H12" s="30" t="s">
        <v>186</v>
      </c>
      <c r="I12" s="32"/>
      <c r="J12" s="32"/>
      <c r="K12" s="32"/>
      <c r="L12" s="32"/>
    </row>
    <row r="13" spans="1:12" ht="16" customHeight="1" thickBot="1" x14ac:dyDescent="0.4">
      <c r="A13" s="36">
        <v>10010</v>
      </c>
      <c r="B13" s="37" t="s">
        <v>179</v>
      </c>
      <c r="C13" s="37" t="s">
        <v>176</v>
      </c>
      <c r="D13" s="38">
        <v>37</v>
      </c>
      <c r="E13" s="39">
        <v>34.1</v>
      </c>
      <c r="F13" s="40">
        <f t="shared" si="0"/>
        <v>1261.7</v>
      </c>
      <c r="H13" s="31" t="s">
        <v>208</v>
      </c>
      <c r="I13" s="32">
        <v>18</v>
      </c>
      <c r="J13" s="32"/>
      <c r="K13" s="32"/>
      <c r="L13" s="32">
        <v>18</v>
      </c>
    </row>
    <row r="14" spans="1:12" ht="16" customHeight="1" thickBot="1" x14ac:dyDescent="0.4">
      <c r="A14" s="36">
        <v>10011</v>
      </c>
      <c r="B14" s="37" t="s">
        <v>180</v>
      </c>
      <c r="C14" s="37" t="s">
        <v>172</v>
      </c>
      <c r="D14" s="38">
        <v>23</v>
      </c>
      <c r="E14" s="39">
        <v>25.5</v>
      </c>
      <c r="F14" s="40">
        <f t="shared" si="0"/>
        <v>586.5</v>
      </c>
      <c r="H14" s="31" t="s">
        <v>212</v>
      </c>
      <c r="I14" s="32">
        <v>12.1</v>
      </c>
      <c r="J14" s="32"/>
      <c r="K14" s="32"/>
      <c r="L14" s="32">
        <v>12.1</v>
      </c>
    </row>
    <row r="15" spans="1:12" ht="16" customHeight="1" thickBot="1" x14ac:dyDescent="0.4">
      <c r="A15" s="36">
        <v>10012</v>
      </c>
      <c r="B15" s="37" t="s">
        <v>181</v>
      </c>
      <c r="C15" s="37" t="s">
        <v>168</v>
      </c>
      <c r="D15" s="38">
        <v>11</v>
      </c>
      <c r="E15" s="39">
        <v>17.55</v>
      </c>
      <c r="F15" s="40">
        <f t="shared" si="0"/>
        <v>193.05</v>
      </c>
      <c r="H15" s="31" t="s">
        <v>211</v>
      </c>
      <c r="I15" s="32">
        <v>217.79999999999998</v>
      </c>
      <c r="J15" s="32"/>
      <c r="K15" s="32"/>
      <c r="L15" s="32">
        <v>217.79999999999998</v>
      </c>
    </row>
    <row r="16" spans="1:12" ht="16" customHeight="1" thickBot="1" x14ac:dyDescent="0.4">
      <c r="A16" s="36">
        <v>10013</v>
      </c>
      <c r="B16" s="37" t="s">
        <v>182</v>
      </c>
      <c r="C16" s="37" t="s">
        <v>183</v>
      </c>
      <c r="D16" s="38">
        <v>15</v>
      </c>
      <c r="E16" s="39">
        <v>21.75</v>
      </c>
      <c r="F16" s="40">
        <f t="shared" si="0"/>
        <v>326.25</v>
      </c>
      <c r="H16" s="30" t="s">
        <v>209</v>
      </c>
      <c r="I16" s="32">
        <v>18</v>
      </c>
      <c r="J16" s="32">
        <v>13</v>
      </c>
      <c r="K16" s="32">
        <v>22</v>
      </c>
      <c r="L16" s="32">
        <v>53</v>
      </c>
    </row>
    <row r="17" spans="1:12" ht="16" customHeight="1" thickBot="1" x14ac:dyDescent="0.4">
      <c r="A17" s="36">
        <v>10014</v>
      </c>
      <c r="B17" s="37" t="s">
        <v>184</v>
      </c>
      <c r="C17" s="37" t="s">
        <v>185</v>
      </c>
      <c r="D17" s="38">
        <v>44</v>
      </c>
      <c r="E17" s="39">
        <v>48.2</v>
      </c>
      <c r="F17" s="40">
        <f t="shared" si="0"/>
        <v>2120.8000000000002</v>
      </c>
      <c r="H17" s="30" t="s">
        <v>213</v>
      </c>
      <c r="I17" s="32">
        <v>12.1</v>
      </c>
      <c r="J17" s="32">
        <v>17.55</v>
      </c>
      <c r="K17" s="32">
        <v>21.25</v>
      </c>
      <c r="L17" s="32">
        <v>50.9</v>
      </c>
    </row>
    <row r="18" spans="1:12" ht="16" customHeight="1" thickBot="1" x14ac:dyDescent="0.4">
      <c r="A18" s="36">
        <v>10015</v>
      </c>
      <c r="B18" s="37" t="s">
        <v>186</v>
      </c>
      <c r="C18" s="37" t="s">
        <v>187</v>
      </c>
      <c r="D18" s="38">
        <v>18</v>
      </c>
      <c r="E18" s="39">
        <v>12.1</v>
      </c>
      <c r="F18" s="40">
        <f t="shared" si="0"/>
        <v>217.79999999999998</v>
      </c>
      <c r="H18" s="30" t="s">
        <v>210</v>
      </c>
      <c r="I18" s="32">
        <v>217.79999999999998</v>
      </c>
      <c r="J18" s="32">
        <v>228.15</v>
      </c>
      <c r="K18" s="32">
        <v>467.5</v>
      </c>
      <c r="L18" s="32">
        <v>913.44999999999993</v>
      </c>
    </row>
    <row r="19" spans="1:12" ht="16" customHeight="1" thickBot="1" x14ac:dyDescent="0.4">
      <c r="A19" s="36">
        <v>10016</v>
      </c>
      <c r="B19" s="37" t="s">
        <v>188</v>
      </c>
      <c r="C19" s="37" t="s">
        <v>183</v>
      </c>
      <c r="D19" s="38">
        <v>11</v>
      </c>
      <c r="E19" s="39">
        <v>21.75</v>
      </c>
      <c r="F19" s="40">
        <f t="shared" si="0"/>
        <v>239.25</v>
      </c>
    </row>
    <row r="20" spans="1:12" ht="16" customHeight="1" thickBot="1" x14ac:dyDescent="0.4">
      <c r="A20" s="36">
        <v>10017</v>
      </c>
      <c r="B20" s="37" t="s">
        <v>189</v>
      </c>
      <c r="C20" s="37" t="s">
        <v>172</v>
      </c>
      <c r="D20" s="38">
        <v>35</v>
      </c>
      <c r="E20" s="39">
        <v>25</v>
      </c>
      <c r="F20" s="40">
        <f t="shared" si="0"/>
        <v>875</v>
      </c>
    </row>
    <row r="21" spans="1:12" ht="16" customHeight="1" thickBot="1" x14ac:dyDescent="0.4">
      <c r="A21" s="36">
        <v>10018</v>
      </c>
      <c r="B21" s="37" t="s">
        <v>190</v>
      </c>
      <c r="C21" s="37" t="s">
        <v>185</v>
      </c>
      <c r="D21" s="38">
        <v>30</v>
      </c>
      <c r="E21" s="39">
        <v>49.1</v>
      </c>
      <c r="F21" s="40">
        <f t="shared" si="0"/>
        <v>1473</v>
      </c>
    </row>
    <row r="22" spans="1:12" ht="16" customHeight="1" thickBot="1" x14ac:dyDescent="0.4">
      <c r="A22" s="36">
        <v>10019</v>
      </c>
      <c r="B22" s="37" t="s">
        <v>191</v>
      </c>
      <c r="C22" s="37" t="s">
        <v>176</v>
      </c>
      <c r="D22" s="38">
        <v>48</v>
      </c>
      <c r="E22" s="39">
        <v>33.4</v>
      </c>
      <c r="F22" s="40">
        <f t="shared" si="0"/>
        <v>1603.1999999999998</v>
      </c>
    </row>
    <row r="23" spans="1:12" ht="16" customHeight="1" thickBot="1" x14ac:dyDescent="0.4">
      <c r="A23" s="36">
        <v>10020</v>
      </c>
      <c r="B23" s="37" t="s">
        <v>192</v>
      </c>
      <c r="C23" s="37" t="s">
        <v>185</v>
      </c>
      <c r="D23" s="38">
        <v>46</v>
      </c>
      <c r="E23" s="39">
        <v>48.2</v>
      </c>
      <c r="F23" s="40">
        <f t="shared" si="0"/>
        <v>2217.2000000000003</v>
      </c>
    </row>
    <row r="24" spans="1:12" ht="16" customHeight="1" thickBot="1" x14ac:dyDescent="0.4">
      <c r="A24" s="36">
        <v>10021</v>
      </c>
      <c r="B24" s="37" t="s">
        <v>193</v>
      </c>
      <c r="C24" s="37" t="s">
        <v>166</v>
      </c>
      <c r="D24" s="38">
        <v>26</v>
      </c>
      <c r="E24" s="39">
        <v>15.5</v>
      </c>
      <c r="F24" s="40">
        <f t="shared" si="0"/>
        <v>403</v>
      </c>
    </row>
    <row r="25" spans="1:12" ht="16" customHeight="1" thickBot="1" x14ac:dyDescent="0.4">
      <c r="A25" s="36">
        <v>10022</v>
      </c>
      <c r="B25" s="37" t="s">
        <v>194</v>
      </c>
      <c r="C25" s="37" t="s">
        <v>187</v>
      </c>
      <c r="D25" s="38">
        <v>11</v>
      </c>
      <c r="E25" s="39">
        <v>12.3</v>
      </c>
      <c r="F25" s="40">
        <f t="shared" si="0"/>
        <v>135.30000000000001</v>
      </c>
    </row>
    <row r="26" spans="1:12" ht="16" customHeight="1" thickBot="1" x14ac:dyDescent="0.4">
      <c r="A26" s="36">
        <v>10023</v>
      </c>
      <c r="B26" s="37" t="s">
        <v>194</v>
      </c>
      <c r="C26" s="37" t="s">
        <v>166</v>
      </c>
      <c r="D26" s="38">
        <v>16</v>
      </c>
      <c r="E26" s="39">
        <v>15.95</v>
      </c>
      <c r="F26" s="40">
        <f t="shared" si="0"/>
        <v>255.2</v>
      </c>
    </row>
    <row r="27" spans="1:12" ht="16" customHeight="1" thickBot="1" x14ac:dyDescent="0.4">
      <c r="A27" s="36">
        <v>10024</v>
      </c>
      <c r="B27" s="37" t="s">
        <v>191</v>
      </c>
      <c r="C27" s="37" t="s">
        <v>166</v>
      </c>
      <c r="D27" s="38">
        <v>14</v>
      </c>
      <c r="E27" s="39">
        <v>15.95</v>
      </c>
      <c r="F27" s="40">
        <f t="shared" si="0"/>
        <v>223.29999999999998</v>
      </c>
    </row>
    <row r="28" spans="1:12" ht="16" customHeight="1" thickBot="1" x14ac:dyDescent="0.4">
      <c r="A28" s="36">
        <v>10025</v>
      </c>
      <c r="B28" s="37" t="s">
        <v>195</v>
      </c>
      <c r="C28" s="37" t="s">
        <v>187</v>
      </c>
      <c r="D28" s="38">
        <v>10</v>
      </c>
      <c r="E28" s="39">
        <v>12.3</v>
      </c>
      <c r="F28" s="40">
        <f t="shared" si="0"/>
        <v>123</v>
      </c>
    </row>
    <row r="29" spans="1:12" ht="16" customHeight="1" thickBot="1" x14ac:dyDescent="0.4">
      <c r="A29" s="36">
        <v>10026</v>
      </c>
      <c r="B29" s="37" t="s">
        <v>196</v>
      </c>
      <c r="C29" s="37" t="s">
        <v>170</v>
      </c>
      <c r="D29" s="38">
        <v>23</v>
      </c>
      <c r="E29" s="39">
        <v>22.9</v>
      </c>
      <c r="F29" s="40">
        <f t="shared" si="0"/>
        <v>526.69999999999993</v>
      </c>
    </row>
    <row r="30" spans="1:12" ht="16" customHeight="1" thickBot="1" x14ac:dyDescent="0.4">
      <c r="A30" s="36">
        <v>10027</v>
      </c>
      <c r="B30" s="37" t="s">
        <v>197</v>
      </c>
      <c r="C30" s="37" t="s">
        <v>168</v>
      </c>
      <c r="D30" s="38">
        <v>12</v>
      </c>
      <c r="E30" s="39">
        <v>17.55</v>
      </c>
      <c r="F30" s="40">
        <f t="shared" si="0"/>
        <v>210.60000000000002</v>
      </c>
    </row>
    <row r="31" spans="1:12" ht="16" customHeight="1" thickBot="1" x14ac:dyDescent="0.4">
      <c r="A31" s="36">
        <v>10028</v>
      </c>
      <c r="B31" s="37" t="s">
        <v>198</v>
      </c>
      <c r="C31" s="37" t="s">
        <v>187</v>
      </c>
      <c r="D31" s="38">
        <v>14</v>
      </c>
      <c r="E31" s="39">
        <v>12.3</v>
      </c>
      <c r="F31" s="40">
        <f t="shared" si="0"/>
        <v>172.20000000000002</v>
      </c>
    </row>
    <row r="32" spans="1:12" ht="16" customHeight="1" thickBot="1" x14ac:dyDescent="0.4">
      <c r="A32" s="36">
        <v>10029</v>
      </c>
      <c r="B32" s="37" t="s">
        <v>199</v>
      </c>
      <c r="C32" s="37" t="s">
        <v>183</v>
      </c>
      <c r="D32" s="38">
        <v>22</v>
      </c>
      <c r="E32" s="39">
        <v>21.25</v>
      </c>
      <c r="F32" s="40">
        <f t="shared" si="0"/>
        <v>467.5</v>
      </c>
    </row>
    <row r="33" spans="1:6" ht="16" customHeight="1" thickBot="1" x14ac:dyDescent="0.4">
      <c r="A33" s="36">
        <v>10030</v>
      </c>
      <c r="B33" s="37" t="s">
        <v>200</v>
      </c>
      <c r="C33" s="37" t="s">
        <v>168</v>
      </c>
      <c r="D33" s="38">
        <v>10</v>
      </c>
      <c r="E33" s="39">
        <v>17.55</v>
      </c>
      <c r="F33" s="40">
        <f t="shared" si="0"/>
        <v>175.5</v>
      </c>
    </row>
    <row r="34" spans="1:6" ht="16" customHeight="1" thickBot="1" x14ac:dyDescent="0.4">
      <c r="A34" s="36">
        <v>10031</v>
      </c>
      <c r="B34" s="37" t="s">
        <v>180</v>
      </c>
      <c r="C34" s="37" t="s">
        <v>176</v>
      </c>
      <c r="D34" s="38">
        <v>37</v>
      </c>
      <c r="E34" s="39">
        <v>34.1</v>
      </c>
      <c r="F34" s="40">
        <f t="shared" si="0"/>
        <v>1261.7</v>
      </c>
    </row>
    <row r="35" spans="1:6" ht="16" customHeight="1" thickBot="1" x14ac:dyDescent="0.4">
      <c r="A35" s="36">
        <v>10032</v>
      </c>
      <c r="B35" s="37" t="s">
        <v>173</v>
      </c>
      <c r="C35" s="37" t="s">
        <v>172</v>
      </c>
      <c r="D35" s="38">
        <v>42</v>
      </c>
      <c r="E35" s="39">
        <v>24</v>
      </c>
      <c r="F35" s="40">
        <f t="shared" si="0"/>
        <v>1008</v>
      </c>
    </row>
    <row r="36" spans="1:6" ht="16" customHeight="1" thickBot="1" x14ac:dyDescent="0.4">
      <c r="A36" s="36">
        <v>10033</v>
      </c>
      <c r="B36" s="37" t="s">
        <v>201</v>
      </c>
      <c r="C36" s="37" t="s">
        <v>166</v>
      </c>
      <c r="D36" s="38">
        <v>18</v>
      </c>
      <c r="E36" s="39">
        <v>15.95</v>
      </c>
      <c r="F36" s="40">
        <f t="shared" si="0"/>
        <v>287.09999999999997</v>
      </c>
    </row>
    <row r="37" spans="1:6" ht="16" customHeight="1" thickBot="1" x14ac:dyDescent="0.4">
      <c r="A37" s="36">
        <v>10034</v>
      </c>
      <c r="B37" s="37" t="s">
        <v>167</v>
      </c>
      <c r="C37" s="37" t="s">
        <v>187</v>
      </c>
      <c r="D37" s="38">
        <v>12</v>
      </c>
      <c r="E37" s="39">
        <v>12.3</v>
      </c>
      <c r="F37" s="40">
        <f t="shared" si="0"/>
        <v>147.60000000000002</v>
      </c>
    </row>
    <row r="38" spans="1:6" ht="16" customHeight="1" thickBot="1" x14ac:dyDescent="0.4">
      <c r="A38" s="36">
        <v>10035</v>
      </c>
      <c r="B38" s="37" t="s">
        <v>202</v>
      </c>
      <c r="C38" s="37" t="s">
        <v>183</v>
      </c>
      <c r="D38" s="38">
        <v>17</v>
      </c>
      <c r="E38" s="39">
        <v>21.75</v>
      </c>
      <c r="F38" s="40">
        <f t="shared" si="0"/>
        <v>369.75</v>
      </c>
    </row>
    <row r="39" spans="1:6" ht="16" customHeight="1" thickBot="1" x14ac:dyDescent="0.4">
      <c r="A39" s="41">
        <v>10036</v>
      </c>
      <c r="B39" s="42" t="s">
        <v>200</v>
      </c>
      <c r="C39" s="42" t="s">
        <v>172</v>
      </c>
      <c r="D39" s="43">
        <v>34</v>
      </c>
      <c r="E39" s="44">
        <v>25</v>
      </c>
      <c r="F39" s="40">
        <f t="shared" si="0"/>
        <v>850</v>
      </c>
    </row>
    <row r="40" spans="1:6" ht="16" customHeight="1" thickBot="1" x14ac:dyDescent="0.4">
      <c r="A40" s="36">
        <v>10037</v>
      </c>
      <c r="B40" s="37" t="s">
        <v>169</v>
      </c>
      <c r="C40" s="37" t="s">
        <v>166</v>
      </c>
      <c r="D40" s="38">
        <v>12</v>
      </c>
      <c r="E40" s="39">
        <v>15.95</v>
      </c>
      <c r="F40" s="40">
        <f t="shared" si="0"/>
        <v>191.39999999999998</v>
      </c>
    </row>
    <row r="41" spans="1:6" ht="16" customHeight="1" thickBot="1" x14ac:dyDescent="0.4">
      <c r="A41" s="36">
        <v>10038</v>
      </c>
      <c r="B41" s="37" t="s">
        <v>180</v>
      </c>
      <c r="C41" s="37" t="s">
        <v>185</v>
      </c>
      <c r="D41" s="38">
        <v>64</v>
      </c>
      <c r="E41" s="39">
        <v>46.7</v>
      </c>
      <c r="F41" s="40">
        <f t="shared" si="0"/>
        <v>2988.8</v>
      </c>
    </row>
    <row r="42" spans="1:6" ht="16" customHeight="1" thickBot="1" x14ac:dyDescent="0.4">
      <c r="A42" s="36">
        <v>10039</v>
      </c>
      <c r="B42" s="37" t="s">
        <v>195</v>
      </c>
      <c r="C42" s="37" t="s">
        <v>170</v>
      </c>
      <c r="D42" s="38">
        <v>8</v>
      </c>
      <c r="E42" s="39">
        <v>24</v>
      </c>
      <c r="F42" s="40">
        <f t="shared" si="0"/>
        <v>192</v>
      </c>
    </row>
    <row r="43" spans="1:6" ht="16" customHeight="1" thickBot="1" x14ac:dyDescent="0.4">
      <c r="A43" s="36">
        <v>10040</v>
      </c>
      <c r="B43" s="37" t="s">
        <v>203</v>
      </c>
      <c r="C43" s="37" t="s">
        <v>185</v>
      </c>
      <c r="D43" s="38">
        <v>34</v>
      </c>
      <c r="E43" s="39">
        <v>49.1</v>
      </c>
      <c r="F43" s="40">
        <f t="shared" si="0"/>
        <v>1669.4</v>
      </c>
    </row>
    <row r="44" spans="1:6" ht="16" customHeight="1" thickBot="1" x14ac:dyDescent="0.4">
      <c r="A44" s="36">
        <v>10041</v>
      </c>
      <c r="B44" s="37" t="s">
        <v>196</v>
      </c>
      <c r="C44" s="37" t="s">
        <v>185</v>
      </c>
      <c r="D44" s="38">
        <v>44</v>
      </c>
      <c r="E44" s="39">
        <v>48.2</v>
      </c>
      <c r="F44" s="40">
        <f t="shared" si="0"/>
        <v>2120.8000000000002</v>
      </c>
    </row>
    <row r="45" spans="1:6" ht="16" customHeight="1" thickBot="1" x14ac:dyDescent="0.4">
      <c r="A45" s="36">
        <v>10042</v>
      </c>
      <c r="B45" s="37" t="s">
        <v>204</v>
      </c>
      <c r="C45" s="37" t="s">
        <v>187</v>
      </c>
      <c r="D45" s="38">
        <v>90</v>
      </c>
      <c r="E45" s="39">
        <v>11.3</v>
      </c>
      <c r="F45" s="40">
        <f t="shared" si="0"/>
        <v>1017.0000000000001</v>
      </c>
    </row>
    <row r="46" spans="1:6" ht="16" customHeight="1" thickBot="1" x14ac:dyDescent="0.4">
      <c r="A46" s="36">
        <v>10043</v>
      </c>
      <c r="B46" s="37" t="s">
        <v>205</v>
      </c>
      <c r="C46" s="37" t="s">
        <v>185</v>
      </c>
      <c r="D46" s="38">
        <v>68</v>
      </c>
      <c r="E46" s="39">
        <v>46.7</v>
      </c>
      <c r="F46" s="40">
        <f t="shared" si="0"/>
        <v>3175.6000000000004</v>
      </c>
    </row>
    <row r="47" spans="1:6" ht="16" customHeight="1" thickBot="1" x14ac:dyDescent="0.4">
      <c r="A47" s="36">
        <v>10044</v>
      </c>
      <c r="B47" s="37" t="s">
        <v>193</v>
      </c>
      <c r="C47" s="37" t="s">
        <v>176</v>
      </c>
      <c r="D47" s="38">
        <v>60</v>
      </c>
      <c r="E47" s="39">
        <v>32.700000000000003</v>
      </c>
      <c r="F47" s="40">
        <f t="shared" si="0"/>
        <v>1962.0000000000002</v>
      </c>
    </row>
    <row r="48" spans="1:6" ht="16" customHeight="1" thickBot="1" x14ac:dyDescent="0.4">
      <c r="A48" s="36">
        <v>10045</v>
      </c>
      <c r="B48" s="37" t="s">
        <v>197</v>
      </c>
      <c r="C48" s="37" t="s">
        <v>183</v>
      </c>
      <c r="D48" s="38">
        <v>17</v>
      </c>
      <c r="E48" s="39">
        <v>21.75</v>
      </c>
      <c r="F48" s="40">
        <f t="shared" si="0"/>
        <v>369.75</v>
      </c>
    </row>
    <row r="49" spans="1:6" ht="16" customHeight="1" thickBot="1" x14ac:dyDescent="0.4">
      <c r="A49" s="36">
        <v>10046</v>
      </c>
      <c r="B49" s="37" t="s">
        <v>169</v>
      </c>
      <c r="C49" s="37" t="s">
        <v>187</v>
      </c>
      <c r="D49" s="38">
        <v>32</v>
      </c>
      <c r="E49" s="39">
        <v>11.9</v>
      </c>
      <c r="F49" s="40">
        <f t="shared" si="0"/>
        <v>380.8</v>
      </c>
    </row>
    <row r="50" spans="1:6" ht="16" customHeight="1" thickBot="1" x14ac:dyDescent="0.4">
      <c r="A50" s="36">
        <v>10047</v>
      </c>
      <c r="B50" s="37" t="s">
        <v>192</v>
      </c>
      <c r="C50" s="37" t="s">
        <v>187</v>
      </c>
      <c r="D50" s="38">
        <v>53</v>
      </c>
      <c r="E50" s="39">
        <v>11.5</v>
      </c>
      <c r="F50" s="40">
        <f t="shared" si="0"/>
        <v>609.5</v>
      </c>
    </row>
    <row r="51" spans="1:6" ht="16" customHeight="1" thickBot="1" x14ac:dyDescent="0.4">
      <c r="A51" s="36">
        <v>10048</v>
      </c>
      <c r="B51" s="37" t="s">
        <v>206</v>
      </c>
      <c r="C51" s="37" t="s">
        <v>185</v>
      </c>
      <c r="D51" s="38">
        <v>88</v>
      </c>
      <c r="E51" s="39">
        <v>44</v>
      </c>
      <c r="F51" s="40">
        <f t="shared" si="0"/>
        <v>3872</v>
      </c>
    </row>
    <row r="52" spans="1:6" ht="16" customHeight="1" thickBot="1" x14ac:dyDescent="0.4">
      <c r="A52" s="36">
        <v>10049</v>
      </c>
      <c r="B52" s="37" t="s">
        <v>174</v>
      </c>
      <c r="C52" s="37" t="s">
        <v>166</v>
      </c>
      <c r="D52" s="38">
        <v>50</v>
      </c>
      <c r="E52" s="39">
        <v>14.95</v>
      </c>
      <c r="F52" s="40">
        <f t="shared" si="0"/>
        <v>747.5</v>
      </c>
    </row>
    <row r="53" spans="1:6" ht="16" customHeight="1" thickBot="1" x14ac:dyDescent="0.4">
      <c r="A53" s="36">
        <v>10050</v>
      </c>
      <c r="B53" s="37" t="s">
        <v>207</v>
      </c>
      <c r="C53" s="37" t="s">
        <v>166</v>
      </c>
      <c r="D53" s="38">
        <v>18</v>
      </c>
      <c r="E53" s="39">
        <v>15.95</v>
      </c>
      <c r="F53" s="40">
        <f t="shared" si="0"/>
        <v>287.09999999999997</v>
      </c>
    </row>
  </sheetData>
  <mergeCells count="5">
    <mergeCell ref="A1:A2"/>
    <mergeCell ref="B1:B2"/>
    <mergeCell ref="C1:C2"/>
    <mergeCell ref="D1:D2"/>
    <mergeCell ref="F1:F2"/>
  </mergeCell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M53"/>
  <sheetViews>
    <sheetView topLeftCell="E11" zoomScale="90" zoomScaleNormal="115" workbookViewId="0">
      <selection activeCell="J26" sqref="J26"/>
    </sheetView>
  </sheetViews>
  <sheetFormatPr defaultRowHeight="14.5" x14ac:dyDescent="0.35"/>
  <cols>
    <col min="1" max="3" width="24.453125" customWidth="1"/>
    <col min="4" max="4" width="21.08984375" customWidth="1"/>
    <col min="5" max="6" width="24.453125" customWidth="1"/>
    <col min="7" max="7" width="9" customWidth="1"/>
    <col min="10" max="10" width="21.453125" customWidth="1"/>
    <col min="11" max="11" width="39" customWidth="1"/>
    <col min="12" max="12" width="25.453125" customWidth="1"/>
    <col min="13" max="13" width="36.08984375" customWidth="1"/>
    <col min="14" max="28" width="23.36328125" customWidth="1"/>
  </cols>
  <sheetData>
    <row r="1" spans="1:13" ht="18.75" customHeight="1" x14ac:dyDescent="0.35">
      <c r="A1" s="116" t="s">
        <v>158</v>
      </c>
      <c r="B1" s="116" t="s">
        <v>159</v>
      </c>
      <c r="C1" s="116" t="s">
        <v>160</v>
      </c>
      <c r="D1" s="116" t="s">
        <v>161</v>
      </c>
      <c r="E1" s="45" t="s">
        <v>162</v>
      </c>
      <c r="F1" s="116" t="s">
        <v>163</v>
      </c>
    </row>
    <row r="2" spans="1:13" ht="31.5" customHeight="1" thickBot="1" x14ac:dyDescent="0.4">
      <c r="A2" s="117"/>
      <c r="B2" s="117"/>
      <c r="C2" s="118"/>
      <c r="D2" s="118"/>
      <c r="E2" s="46" t="s">
        <v>164</v>
      </c>
      <c r="F2" s="118"/>
    </row>
    <row r="3" spans="1:13" ht="18" thickBot="1" x14ac:dyDescent="0.4">
      <c r="A3" s="47">
        <v>10000</v>
      </c>
      <c r="B3" s="48" t="s">
        <v>165</v>
      </c>
      <c r="C3" s="48" t="s">
        <v>166</v>
      </c>
      <c r="D3" s="48">
        <v>10</v>
      </c>
      <c r="E3" s="48">
        <v>15.95</v>
      </c>
      <c r="F3" s="48">
        <f>D3*E3</f>
        <v>159.5</v>
      </c>
    </row>
    <row r="4" spans="1:13" ht="18" thickBot="1" x14ac:dyDescent="0.4">
      <c r="A4" s="47">
        <v>10001</v>
      </c>
      <c r="B4" s="48" t="s">
        <v>167</v>
      </c>
      <c r="C4" s="48" t="s">
        <v>168</v>
      </c>
      <c r="D4" s="48">
        <v>10</v>
      </c>
      <c r="E4" s="48">
        <v>17.55</v>
      </c>
      <c r="F4" s="48">
        <f t="shared" ref="F4:F53" si="0">D4*E4</f>
        <v>175.5</v>
      </c>
    </row>
    <row r="5" spans="1:13" ht="18" thickBot="1" x14ac:dyDescent="0.4">
      <c r="A5" s="47">
        <v>10002</v>
      </c>
      <c r="B5" s="48" t="s">
        <v>169</v>
      </c>
      <c r="C5" s="48" t="s">
        <v>170</v>
      </c>
      <c r="D5" s="48">
        <v>47</v>
      </c>
      <c r="E5" s="48">
        <v>22.2</v>
      </c>
      <c r="F5" s="48">
        <f t="shared" si="0"/>
        <v>1043.3999999999999</v>
      </c>
    </row>
    <row r="6" spans="1:13" ht="18" thickBot="1" x14ac:dyDescent="0.4">
      <c r="A6" s="47">
        <v>10003</v>
      </c>
      <c r="B6" s="48" t="s">
        <v>171</v>
      </c>
      <c r="C6" s="48" t="s">
        <v>172</v>
      </c>
      <c r="D6" s="48">
        <v>13</v>
      </c>
      <c r="E6" s="48">
        <v>26</v>
      </c>
      <c r="F6" s="48">
        <f t="shared" si="0"/>
        <v>338</v>
      </c>
    </row>
    <row r="7" spans="1:13" ht="34" customHeight="1" thickBot="1" x14ac:dyDescent="0.4">
      <c r="A7" s="47">
        <v>10004</v>
      </c>
      <c r="B7" s="48" t="s">
        <v>173</v>
      </c>
      <c r="C7" s="48" t="s">
        <v>170</v>
      </c>
      <c r="D7" s="48">
        <v>45</v>
      </c>
      <c r="E7" s="48">
        <v>22.2</v>
      </c>
      <c r="F7" s="48">
        <f t="shared" si="0"/>
        <v>999</v>
      </c>
    </row>
    <row r="8" spans="1:13" ht="35.5" thickBot="1" x14ac:dyDescent="0.4">
      <c r="A8" s="47">
        <v>10005</v>
      </c>
      <c r="B8" s="48" t="s">
        <v>174</v>
      </c>
      <c r="C8" s="48" t="s">
        <v>172</v>
      </c>
      <c r="D8" s="48">
        <v>35</v>
      </c>
      <c r="E8" s="48">
        <v>25</v>
      </c>
      <c r="F8" s="48">
        <f t="shared" si="0"/>
        <v>875</v>
      </c>
    </row>
    <row r="9" spans="1:13" ht="35.5" thickBot="1" x14ac:dyDescent="0.4">
      <c r="A9" s="47">
        <v>10006</v>
      </c>
      <c r="B9" s="48" t="s">
        <v>175</v>
      </c>
      <c r="C9" s="48" t="s">
        <v>176</v>
      </c>
      <c r="D9" s="48">
        <v>125</v>
      </c>
      <c r="E9" s="48">
        <v>31</v>
      </c>
      <c r="F9" s="48">
        <f t="shared" si="0"/>
        <v>3875</v>
      </c>
    </row>
    <row r="10" spans="1:13" ht="18" thickBot="1" x14ac:dyDescent="0.4">
      <c r="A10" s="47">
        <v>10007</v>
      </c>
      <c r="B10" s="48" t="s">
        <v>177</v>
      </c>
      <c r="C10" s="48" t="s">
        <v>170</v>
      </c>
      <c r="D10" s="48">
        <v>11</v>
      </c>
      <c r="E10" s="48">
        <v>23.5</v>
      </c>
      <c r="F10" s="48">
        <f t="shared" si="0"/>
        <v>258.5</v>
      </c>
    </row>
    <row r="11" spans="1:13" ht="18" thickBot="1" x14ac:dyDescent="0.4">
      <c r="A11" s="47">
        <v>10008</v>
      </c>
      <c r="B11" s="48" t="s">
        <v>178</v>
      </c>
      <c r="C11" s="48" t="s">
        <v>168</v>
      </c>
      <c r="D11" s="48">
        <v>13</v>
      </c>
      <c r="E11" s="48">
        <v>17.55</v>
      </c>
      <c r="F11" s="48">
        <f t="shared" si="0"/>
        <v>228.15</v>
      </c>
    </row>
    <row r="12" spans="1:13" ht="18" thickBot="1" x14ac:dyDescent="0.4">
      <c r="A12" s="47">
        <v>10009</v>
      </c>
      <c r="B12" s="48" t="s">
        <v>171</v>
      </c>
      <c r="C12" s="48" t="s">
        <v>176</v>
      </c>
      <c r="D12" s="48">
        <v>45</v>
      </c>
      <c r="E12" s="48">
        <v>33.4</v>
      </c>
      <c r="F12" s="48">
        <f t="shared" si="0"/>
        <v>1503</v>
      </c>
    </row>
    <row r="13" spans="1:13" ht="35.5" thickBot="1" x14ac:dyDescent="0.4">
      <c r="A13" s="47">
        <v>10010</v>
      </c>
      <c r="B13" s="48" t="s">
        <v>179</v>
      </c>
      <c r="C13" s="48" t="s">
        <v>176</v>
      </c>
      <c r="D13" s="48">
        <v>37</v>
      </c>
      <c r="E13" s="48">
        <v>34.1</v>
      </c>
      <c r="F13" s="48">
        <f t="shared" si="0"/>
        <v>1261.7</v>
      </c>
    </row>
    <row r="14" spans="1:13" ht="35.5" thickBot="1" x14ac:dyDescent="0.4">
      <c r="A14" s="47">
        <v>10011</v>
      </c>
      <c r="B14" s="48" t="s">
        <v>180</v>
      </c>
      <c r="C14" s="48" t="s">
        <v>172</v>
      </c>
      <c r="D14" s="48">
        <v>23</v>
      </c>
      <c r="E14" s="48">
        <v>25.5</v>
      </c>
      <c r="F14" s="48">
        <f t="shared" si="0"/>
        <v>586.5</v>
      </c>
    </row>
    <row r="15" spans="1:13" ht="18" thickBot="1" x14ac:dyDescent="0.4">
      <c r="A15" s="47">
        <v>10012</v>
      </c>
      <c r="B15" s="48" t="s">
        <v>181</v>
      </c>
      <c r="C15" s="48" t="s">
        <v>168</v>
      </c>
      <c r="D15" s="48">
        <v>11</v>
      </c>
      <c r="E15" s="48">
        <v>17.55</v>
      </c>
      <c r="F15" s="48">
        <f t="shared" si="0"/>
        <v>193.05</v>
      </c>
    </row>
    <row r="16" spans="1:13" ht="35.5" thickBot="1" x14ac:dyDescent="0.4">
      <c r="A16" s="47">
        <v>10013</v>
      </c>
      <c r="B16" s="48" t="s">
        <v>182</v>
      </c>
      <c r="C16" s="48" t="s">
        <v>183</v>
      </c>
      <c r="D16" s="48">
        <v>15</v>
      </c>
      <c r="E16" s="48">
        <v>21.75</v>
      </c>
      <c r="F16" s="48">
        <f t="shared" si="0"/>
        <v>326.25</v>
      </c>
      <c r="J16" s="51" t="s">
        <v>132</v>
      </c>
      <c r="K16" s="52" t="s">
        <v>216</v>
      </c>
      <c r="L16" s="52" t="s">
        <v>214</v>
      </c>
      <c r="M16" s="52" t="s">
        <v>215</v>
      </c>
    </row>
    <row r="17" spans="1:13" ht="18" thickBot="1" x14ac:dyDescent="0.4">
      <c r="A17" s="47">
        <v>10014</v>
      </c>
      <c r="B17" s="48" t="s">
        <v>184</v>
      </c>
      <c r="C17" s="48" t="s">
        <v>185</v>
      </c>
      <c r="D17" s="48">
        <v>44</v>
      </c>
      <c r="E17" s="48">
        <v>48.2</v>
      </c>
      <c r="F17" s="48">
        <f t="shared" si="0"/>
        <v>2120.8000000000002</v>
      </c>
      <c r="J17" s="52" t="s">
        <v>181</v>
      </c>
      <c r="K17" s="52">
        <v>11</v>
      </c>
      <c r="L17" s="52">
        <v>17.55</v>
      </c>
      <c r="M17" s="52">
        <v>193.05</v>
      </c>
    </row>
    <row r="18" spans="1:13" ht="18" thickBot="1" x14ac:dyDescent="0.4">
      <c r="A18" s="47">
        <v>10015</v>
      </c>
      <c r="B18" s="48" t="s">
        <v>186</v>
      </c>
      <c r="C18" s="48" t="s">
        <v>187</v>
      </c>
      <c r="D18" s="48">
        <v>18</v>
      </c>
      <c r="E18" s="48">
        <v>12.1</v>
      </c>
      <c r="F18" s="48">
        <f t="shared" si="0"/>
        <v>217.79999999999998</v>
      </c>
      <c r="J18" s="52" t="s">
        <v>168</v>
      </c>
      <c r="K18" s="52">
        <v>11</v>
      </c>
      <c r="L18" s="52">
        <v>17.55</v>
      </c>
      <c r="M18" s="52">
        <v>193.05</v>
      </c>
    </row>
    <row r="19" spans="1:13" ht="35.5" thickBot="1" x14ac:dyDescent="0.4">
      <c r="A19" s="47">
        <v>10016</v>
      </c>
      <c r="B19" s="48" t="s">
        <v>188</v>
      </c>
      <c r="C19" s="48" t="s">
        <v>183</v>
      </c>
      <c r="D19" s="48">
        <v>11</v>
      </c>
      <c r="E19" s="48">
        <v>21.75</v>
      </c>
      <c r="F19" s="48">
        <f t="shared" si="0"/>
        <v>239.25</v>
      </c>
      <c r="J19" s="52" t="s">
        <v>165</v>
      </c>
      <c r="K19" s="52">
        <v>10</v>
      </c>
      <c r="L19" s="52">
        <v>15.95</v>
      </c>
      <c r="M19" s="52">
        <v>159.5</v>
      </c>
    </row>
    <row r="20" spans="1:13" ht="35.5" thickBot="1" x14ac:dyDescent="0.4">
      <c r="A20" s="47">
        <v>10017</v>
      </c>
      <c r="B20" s="48" t="s">
        <v>189</v>
      </c>
      <c r="C20" s="48" t="s">
        <v>172</v>
      </c>
      <c r="D20" s="48">
        <v>35</v>
      </c>
      <c r="E20" s="48">
        <v>25</v>
      </c>
      <c r="F20" s="48">
        <f t="shared" si="0"/>
        <v>875</v>
      </c>
      <c r="J20" s="52" t="s">
        <v>166</v>
      </c>
      <c r="K20" s="52">
        <v>10</v>
      </c>
      <c r="L20" s="52">
        <v>15.95</v>
      </c>
      <c r="M20" s="52">
        <v>159.5</v>
      </c>
    </row>
    <row r="21" spans="1:13" ht="18" thickBot="1" x14ac:dyDescent="0.4">
      <c r="A21" s="47">
        <v>10018</v>
      </c>
      <c r="B21" s="48" t="s">
        <v>190</v>
      </c>
      <c r="C21" s="48" t="s">
        <v>185</v>
      </c>
      <c r="D21" s="48">
        <v>30</v>
      </c>
      <c r="E21" s="48">
        <v>49.1</v>
      </c>
      <c r="F21" s="48">
        <f t="shared" si="0"/>
        <v>1473</v>
      </c>
      <c r="J21" s="52" t="s">
        <v>173</v>
      </c>
      <c r="K21" s="52">
        <v>42</v>
      </c>
      <c r="L21" s="52">
        <v>23.1</v>
      </c>
      <c r="M21" s="52">
        <v>1008</v>
      </c>
    </row>
    <row r="22" spans="1:13" ht="18" thickBot="1" x14ac:dyDescent="0.4">
      <c r="A22" s="47">
        <v>10019</v>
      </c>
      <c r="B22" s="48" t="s">
        <v>191</v>
      </c>
      <c r="C22" s="48" t="s">
        <v>176</v>
      </c>
      <c r="D22" s="48">
        <v>48</v>
      </c>
      <c r="E22" s="48">
        <v>33.4</v>
      </c>
      <c r="F22" s="48">
        <f t="shared" si="0"/>
        <v>1603.1999999999998</v>
      </c>
      <c r="J22" s="52" t="s">
        <v>170</v>
      </c>
      <c r="K22" s="52">
        <v>45</v>
      </c>
      <c r="L22" s="52">
        <v>22.2</v>
      </c>
      <c r="M22" s="52">
        <v>999</v>
      </c>
    </row>
    <row r="23" spans="1:13" ht="18" thickBot="1" x14ac:dyDescent="0.4">
      <c r="A23" s="47">
        <v>10020</v>
      </c>
      <c r="B23" s="48" t="s">
        <v>192</v>
      </c>
      <c r="C23" s="48" t="s">
        <v>185</v>
      </c>
      <c r="D23" s="48">
        <v>46</v>
      </c>
      <c r="E23" s="48">
        <v>48.2</v>
      </c>
      <c r="F23" s="48">
        <f t="shared" si="0"/>
        <v>2217.2000000000003</v>
      </c>
      <c r="J23" s="52" t="s">
        <v>172</v>
      </c>
      <c r="K23" s="52">
        <v>42</v>
      </c>
      <c r="L23" s="52">
        <v>24</v>
      </c>
      <c r="M23" s="52">
        <v>1008</v>
      </c>
    </row>
    <row r="24" spans="1:13" ht="18" thickBot="1" x14ac:dyDescent="0.4">
      <c r="A24" s="47">
        <v>10021</v>
      </c>
      <c r="B24" s="48" t="s">
        <v>193</v>
      </c>
      <c r="C24" s="48" t="s">
        <v>166</v>
      </c>
      <c r="D24" s="48">
        <v>26</v>
      </c>
      <c r="E24" s="48">
        <v>15.5</v>
      </c>
      <c r="F24" s="48">
        <f t="shared" si="0"/>
        <v>403</v>
      </c>
      <c r="J24" s="52" t="s">
        <v>193</v>
      </c>
      <c r="K24" s="52">
        <v>26</v>
      </c>
      <c r="L24" s="52">
        <v>24.1</v>
      </c>
      <c r="M24" s="52">
        <v>1962.0000000000002</v>
      </c>
    </row>
    <row r="25" spans="1:13" ht="35.5" thickBot="1" x14ac:dyDescent="0.4">
      <c r="A25" s="47">
        <v>10022</v>
      </c>
      <c r="B25" s="48" t="s">
        <v>194</v>
      </c>
      <c r="C25" s="48" t="s">
        <v>187</v>
      </c>
      <c r="D25" s="48">
        <v>11</v>
      </c>
      <c r="E25" s="48">
        <v>12.3</v>
      </c>
      <c r="F25" s="48">
        <f t="shared" si="0"/>
        <v>135.30000000000001</v>
      </c>
      <c r="J25" s="52" t="s">
        <v>176</v>
      </c>
      <c r="K25" s="52">
        <v>60</v>
      </c>
      <c r="L25" s="52">
        <v>32.700000000000003</v>
      </c>
      <c r="M25" s="52">
        <v>1962.0000000000002</v>
      </c>
    </row>
    <row r="26" spans="1:13" ht="35.5" thickBot="1" x14ac:dyDescent="0.4">
      <c r="A26" s="47">
        <v>10023</v>
      </c>
      <c r="B26" s="48" t="s">
        <v>194</v>
      </c>
      <c r="C26" s="48" t="s">
        <v>166</v>
      </c>
      <c r="D26" s="48">
        <v>16</v>
      </c>
      <c r="E26" s="48">
        <v>15.95</v>
      </c>
      <c r="F26" s="48">
        <f t="shared" si="0"/>
        <v>255.2</v>
      </c>
      <c r="J26" s="52" t="s">
        <v>166</v>
      </c>
      <c r="K26" s="52">
        <v>26</v>
      </c>
      <c r="L26" s="52">
        <v>15.5</v>
      </c>
      <c r="M26" s="52">
        <v>403</v>
      </c>
    </row>
    <row r="27" spans="1:13" ht="18" thickBot="1" x14ac:dyDescent="0.4">
      <c r="A27" s="47">
        <v>10024</v>
      </c>
      <c r="B27" s="48" t="s">
        <v>191</v>
      </c>
      <c r="C27" s="48" t="s">
        <v>166</v>
      </c>
      <c r="D27" s="48">
        <v>14</v>
      </c>
      <c r="E27" s="48">
        <v>15.95</v>
      </c>
      <c r="F27" s="48">
        <f t="shared" si="0"/>
        <v>223.29999999999998</v>
      </c>
    </row>
    <row r="28" spans="1:13" ht="35.5" thickBot="1" x14ac:dyDescent="0.4">
      <c r="A28" s="47">
        <v>10025</v>
      </c>
      <c r="B28" s="48" t="s">
        <v>195</v>
      </c>
      <c r="C28" s="48" t="s">
        <v>187</v>
      </c>
      <c r="D28" s="48">
        <v>10</v>
      </c>
      <c r="E28" s="48">
        <v>12.3</v>
      </c>
      <c r="F28" s="48">
        <f t="shared" si="0"/>
        <v>123</v>
      </c>
    </row>
    <row r="29" spans="1:13" ht="35.5" thickBot="1" x14ac:dyDescent="0.4">
      <c r="A29" s="47">
        <v>10026</v>
      </c>
      <c r="B29" s="48" t="s">
        <v>196</v>
      </c>
      <c r="C29" s="48" t="s">
        <v>170</v>
      </c>
      <c r="D29" s="48">
        <v>23</v>
      </c>
      <c r="E29" s="48">
        <v>22.9</v>
      </c>
      <c r="F29" s="48">
        <f t="shared" si="0"/>
        <v>526.69999999999993</v>
      </c>
    </row>
    <row r="30" spans="1:13" ht="18" thickBot="1" x14ac:dyDescent="0.4">
      <c r="A30" s="47">
        <v>10027</v>
      </c>
      <c r="B30" s="48" t="s">
        <v>197</v>
      </c>
      <c r="C30" s="48" t="s">
        <v>168</v>
      </c>
      <c r="D30" s="48">
        <v>12</v>
      </c>
      <c r="E30" s="48">
        <v>17.55</v>
      </c>
      <c r="F30" s="48">
        <f t="shared" si="0"/>
        <v>210.60000000000002</v>
      </c>
    </row>
    <row r="31" spans="1:13" ht="18" thickBot="1" x14ac:dyDescent="0.4">
      <c r="A31" s="47">
        <v>10028</v>
      </c>
      <c r="B31" s="48" t="s">
        <v>198</v>
      </c>
      <c r="C31" s="48" t="s">
        <v>187</v>
      </c>
      <c r="D31" s="48">
        <v>14</v>
      </c>
      <c r="E31" s="48">
        <v>12.3</v>
      </c>
      <c r="F31" s="48">
        <f t="shared" si="0"/>
        <v>172.20000000000002</v>
      </c>
    </row>
    <row r="32" spans="1:13" ht="35.5" thickBot="1" x14ac:dyDescent="0.4">
      <c r="A32" s="47">
        <v>10029</v>
      </c>
      <c r="B32" s="48" t="s">
        <v>199</v>
      </c>
      <c r="C32" s="48" t="s">
        <v>183</v>
      </c>
      <c r="D32" s="48">
        <v>22</v>
      </c>
      <c r="E32" s="48">
        <v>21.25</v>
      </c>
      <c r="F32" s="48">
        <f t="shared" si="0"/>
        <v>467.5</v>
      </c>
    </row>
    <row r="33" spans="1:6" ht="35.5" thickBot="1" x14ac:dyDescent="0.4">
      <c r="A33" s="47">
        <v>10030</v>
      </c>
      <c r="B33" s="48" t="s">
        <v>200</v>
      </c>
      <c r="C33" s="48" t="s">
        <v>168</v>
      </c>
      <c r="D33" s="48">
        <v>10</v>
      </c>
      <c r="E33" s="48">
        <v>17.55</v>
      </c>
      <c r="F33" s="48">
        <f t="shared" si="0"/>
        <v>175.5</v>
      </c>
    </row>
    <row r="34" spans="1:6" ht="35.5" thickBot="1" x14ac:dyDescent="0.4">
      <c r="A34" s="47">
        <v>10031</v>
      </c>
      <c r="B34" s="48" t="s">
        <v>180</v>
      </c>
      <c r="C34" s="48" t="s">
        <v>176</v>
      </c>
      <c r="D34" s="48">
        <v>37</v>
      </c>
      <c r="E34" s="48">
        <v>34.1</v>
      </c>
      <c r="F34" s="48">
        <f t="shared" si="0"/>
        <v>1261.7</v>
      </c>
    </row>
    <row r="35" spans="1:6" ht="18" thickBot="1" x14ac:dyDescent="0.4">
      <c r="A35" s="47">
        <v>10032</v>
      </c>
      <c r="B35" s="48" t="s">
        <v>173</v>
      </c>
      <c r="C35" s="48" t="s">
        <v>172</v>
      </c>
      <c r="D35" s="48">
        <v>42</v>
      </c>
      <c r="E35" s="48">
        <v>24</v>
      </c>
      <c r="F35" s="48">
        <f t="shared" si="0"/>
        <v>1008</v>
      </c>
    </row>
    <row r="36" spans="1:6" ht="18" thickBot="1" x14ac:dyDescent="0.4">
      <c r="A36" s="47">
        <v>10033</v>
      </c>
      <c r="B36" s="48" t="s">
        <v>201</v>
      </c>
      <c r="C36" s="48" t="s">
        <v>166</v>
      </c>
      <c r="D36" s="48">
        <v>18</v>
      </c>
      <c r="E36" s="48">
        <v>15.95</v>
      </c>
      <c r="F36" s="48">
        <f t="shared" si="0"/>
        <v>287.09999999999997</v>
      </c>
    </row>
    <row r="37" spans="1:6" ht="18" thickBot="1" x14ac:dyDescent="0.4">
      <c r="A37" s="47">
        <v>10034</v>
      </c>
      <c r="B37" s="48" t="s">
        <v>167</v>
      </c>
      <c r="C37" s="48" t="s">
        <v>187</v>
      </c>
      <c r="D37" s="48">
        <v>12</v>
      </c>
      <c r="E37" s="48">
        <v>12.3</v>
      </c>
      <c r="F37" s="48">
        <f t="shared" si="0"/>
        <v>147.60000000000002</v>
      </c>
    </row>
    <row r="38" spans="1:6" ht="35.5" thickBot="1" x14ac:dyDescent="0.4">
      <c r="A38" s="47">
        <v>10035</v>
      </c>
      <c r="B38" s="48" t="s">
        <v>202</v>
      </c>
      <c r="C38" s="48" t="s">
        <v>183</v>
      </c>
      <c r="D38" s="48">
        <v>17</v>
      </c>
      <c r="E38" s="48">
        <v>21.75</v>
      </c>
      <c r="F38" s="48">
        <f t="shared" si="0"/>
        <v>369.75</v>
      </c>
    </row>
    <row r="39" spans="1:6" ht="35.5" thickBot="1" x14ac:dyDescent="0.4">
      <c r="A39" s="49">
        <v>10036</v>
      </c>
      <c r="B39" s="50" t="s">
        <v>200</v>
      </c>
      <c r="C39" s="50" t="s">
        <v>172</v>
      </c>
      <c r="D39" s="50">
        <v>34</v>
      </c>
      <c r="E39" s="50">
        <v>25</v>
      </c>
      <c r="F39" s="48">
        <f t="shared" si="0"/>
        <v>850</v>
      </c>
    </row>
    <row r="40" spans="1:6" ht="18" thickBot="1" x14ac:dyDescent="0.4">
      <c r="A40" s="47">
        <v>10037</v>
      </c>
      <c r="B40" s="48" t="s">
        <v>169</v>
      </c>
      <c r="C40" s="48" t="s">
        <v>166</v>
      </c>
      <c r="D40" s="48">
        <v>12</v>
      </c>
      <c r="E40" s="48">
        <v>15.95</v>
      </c>
      <c r="F40" s="48">
        <f t="shared" si="0"/>
        <v>191.39999999999998</v>
      </c>
    </row>
    <row r="41" spans="1:6" ht="35.5" thickBot="1" x14ac:dyDescent="0.4">
      <c r="A41" s="47">
        <v>10038</v>
      </c>
      <c r="B41" s="48" t="s">
        <v>180</v>
      </c>
      <c r="C41" s="48" t="s">
        <v>185</v>
      </c>
      <c r="D41" s="48">
        <v>64</v>
      </c>
      <c r="E41" s="48">
        <v>46.7</v>
      </c>
      <c r="F41" s="48">
        <f t="shared" si="0"/>
        <v>2988.8</v>
      </c>
    </row>
    <row r="42" spans="1:6" ht="35.5" thickBot="1" x14ac:dyDescent="0.4">
      <c r="A42" s="47">
        <v>10039</v>
      </c>
      <c r="B42" s="48" t="s">
        <v>195</v>
      </c>
      <c r="C42" s="48" t="s">
        <v>170</v>
      </c>
      <c r="D42" s="48">
        <v>8</v>
      </c>
      <c r="E42" s="48">
        <v>24</v>
      </c>
      <c r="F42" s="48">
        <f t="shared" si="0"/>
        <v>192</v>
      </c>
    </row>
    <row r="43" spans="1:6" ht="35.5" thickBot="1" x14ac:dyDescent="0.4">
      <c r="A43" s="47">
        <v>10040</v>
      </c>
      <c r="B43" s="48" t="s">
        <v>203</v>
      </c>
      <c r="C43" s="48" t="s">
        <v>185</v>
      </c>
      <c r="D43" s="48">
        <v>34</v>
      </c>
      <c r="E43" s="48">
        <v>49.1</v>
      </c>
      <c r="F43" s="48">
        <f t="shared" si="0"/>
        <v>1669.4</v>
      </c>
    </row>
    <row r="44" spans="1:6" ht="35.5" thickBot="1" x14ac:dyDescent="0.4">
      <c r="A44" s="47">
        <v>10041</v>
      </c>
      <c r="B44" s="48" t="s">
        <v>196</v>
      </c>
      <c r="C44" s="48" t="s">
        <v>185</v>
      </c>
      <c r="D44" s="48">
        <v>44</v>
      </c>
      <c r="E44" s="48">
        <v>48.2</v>
      </c>
      <c r="F44" s="48">
        <f t="shared" si="0"/>
        <v>2120.8000000000002</v>
      </c>
    </row>
    <row r="45" spans="1:6" ht="18" thickBot="1" x14ac:dyDescent="0.4">
      <c r="A45" s="47">
        <v>10042</v>
      </c>
      <c r="B45" s="48" t="s">
        <v>204</v>
      </c>
      <c r="C45" s="48" t="s">
        <v>187</v>
      </c>
      <c r="D45" s="48">
        <v>90</v>
      </c>
      <c r="E45" s="48">
        <v>11.3</v>
      </c>
      <c r="F45" s="48">
        <f t="shared" si="0"/>
        <v>1017.0000000000001</v>
      </c>
    </row>
    <row r="46" spans="1:6" ht="35.5" thickBot="1" x14ac:dyDescent="0.4">
      <c r="A46" s="47">
        <v>10043</v>
      </c>
      <c r="B46" s="48" t="s">
        <v>205</v>
      </c>
      <c r="C46" s="48" t="s">
        <v>185</v>
      </c>
      <c r="D46" s="48">
        <v>68</v>
      </c>
      <c r="E46" s="48">
        <v>46.7</v>
      </c>
      <c r="F46" s="48">
        <f t="shared" si="0"/>
        <v>3175.6000000000004</v>
      </c>
    </row>
    <row r="47" spans="1:6" ht="18" thickBot="1" x14ac:dyDescent="0.4">
      <c r="A47" s="47">
        <v>10044</v>
      </c>
      <c r="B47" s="48" t="s">
        <v>193</v>
      </c>
      <c r="C47" s="48" t="s">
        <v>176</v>
      </c>
      <c r="D47" s="48">
        <v>60</v>
      </c>
      <c r="E47" s="48">
        <v>32.700000000000003</v>
      </c>
      <c r="F47" s="48">
        <f t="shared" si="0"/>
        <v>1962.0000000000002</v>
      </c>
    </row>
    <row r="48" spans="1:6" ht="18" thickBot="1" x14ac:dyDescent="0.4">
      <c r="A48" s="47">
        <v>10045</v>
      </c>
      <c r="B48" s="48" t="s">
        <v>197</v>
      </c>
      <c r="C48" s="48" t="s">
        <v>183</v>
      </c>
      <c r="D48" s="48">
        <v>17</v>
      </c>
      <c r="E48" s="48">
        <v>21.75</v>
      </c>
      <c r="F48" s="48">
        <f t="shared" si="0"/>
        <v>369.75</v>
      </c>
    </row>
    <row r="49" spans="1:6" ht="18" thickBot="1" x14ac:dyDescent="0.4">
      <c r="A49" s="47">
        <v>10046</v>
      </c>
      <c r="B49" s="48" t="s">
        <v>169</v>
      </c>
      <c r="C49" s="48" t="s">
        <v>187</v>
      </c>
      <c r="D49" s="48">
        <v>32</v>
      </c>
      <c r="E49" s="48">
        <v>11.9</v>
      </c>
      <c r="F49" s="48">
        <f t="shared" si="0"/>
        <v>380.8</v>
      </c>
    </row>
    <row r="50" spans="1:6" ht="18" thickBot="1" x14ac:dyDescent="0.4">
      <c r="A50" s="47">
        <v>10047</v>
      </c>
      <c r="B50" s="48" t="s">
        <v>192</v>
      </c>
      <c r="C50" s="48" t="s">
        <v>187</v>
      </c>
      <c r="D50" s="48">
        <v>53</v>
      </c>
      <c r="E50" s="48">
        <v>11.5</v>
      </c>
      <c r="F50" s="48">
        <f t="shared" si="0"/>
        <v>609.5</v>
      </c>
    </row>
    <row r="51" spans="1:6" ht="18" thickBot="1" x14ac:dyDescent="0.4">
      <c r="A51" s="47">
        <v>10048</v>
      </c>
      <c r="B51" s="48" t="s">
        <v>206</v>
      </c>
      <c r="C51" s="48" t="s">
        <v>185</v>
      </c>
      <c r="D51" s="48">
        <v>88</v>
      </c>
      <c r="E51" s="48">
        <v>44</v>
      </c>
      <c r="F51" s="48">
        <f t="shared" si="0"/>
        <v>3872</v>
      </c>
    </row>
    <row r="52" spans="1:6" ht="35.5" thickBot="1" x14ac:dyDescent="0.4">
      <c r="A52" s="47">
        <v>10049</v>
      </c>
      <c r="B52" s="48" t="s">
        <v>174</v>
      </c>
      <c r="C52" s="48" t="s">
        <v>166</v>
      </c>
      <c r="D52" s="48">
        <v>50</v>
      </c>
      <c r="E52" s="48">
        <v>14.95</v>
      </c>
      <c r="F52" s="48">
        <f t="shared" si="0"/>
        <v>747.5</v>
      </c>
    </row>
    <row r="53" spans="1:6" ht="18" thickBot="1" x14ac:dyDescent="0.4">
      <c r="A53" s="47">
        <v>10050</v>
      </c>
      <c r="B53" s="48" t="s">
        <v>207</v>
      </c>
      <c r="C53" s="48" t="s">
        <v>166</v>
      </c>
      <c r="D53" s="48">
        <v>18</v>
      </c>
      <c r="E53" s="48">
        <v>15.95</v>
      </c>
      <c r="F53" s="48">
        <f t="shared" si="0"/>
        <v>287.09999999999997</v>
      </c>
    </row>
  </sheetData>
  <autoFilter ref="A1:F53" xr:uid="{00000000-0009-0000-0000-00000B000000}">
    <filterColumn colId="1">
      <customFilters>
        <customFilter val="*"/>
      </customFilters>
    </filterColumn>
  </autoFilter>
  <mergeCells count="5">
    <mergeCell ref="A1:A2"/>
    <mergeCell ref="B1:B2"/>
    <mergeCell ref="C1:C2"/>
    <mergeCell ref="D1:D2"/>
    <mergeCell ref="F1:F2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8"/>
  <sheetViews>
    <sheetView workbookViewId="0">
      <selection activeCell="C3" sqref="C3"/>
    </sheetView>
  </sheetViews>
  <sheetFormatPr defaultRowHeight="14.5" x14ac:dyDescent="0.35"/>
  <cols>
    <col min="1" max="1" width="14.08984375" customWidth="1"/>
    <col min="2" max="2" width="16.08984375" customWidth="1"/>
    <col min="3" max="3" width="14.36328125" customWidth="1"/>
    <col min="4" max="4" width="21.26953125" customWidth="1"/>
  </cols>
  <sheetData>
    <row r="1" spans="1:4" ht="15.5" thickBot="1" x14ac:dyDescent="0.4">
      <c r="A1" s="119" t="s">
        <v>241</v>
      </c>
      <c r="B1" s="120"/>
      <c r="C1" s="120"/>
      <c r="D1" s="121"/>
    </row>
    <row r="2" spans="1:4" ht="15.5" thickBot="1" x14ac:dyDescent="0.4">
      <c r="A2" s="53" t="s">
        <v>221</v>
      </c>
      <c r="B2" s="54" t="s">
        <v>242</v>
      </c>
      <c r="C2" s="55" t="s">
        <v>223</v>
      </c>
      <c r="D2" s="55" t="s">
        <v>243</v>
      </c>
    </row>
    <row r="3" spans="1:4" ht="16" thickBot="1" x14ac:dyDescent="0.4">
      <c r="A3" s="56" t="s">
        <v>224</v>
      </c>
      <c r="B3" s="57">
        <v>2</v>
      </c>
      <c r="C3" s="59">
        <f>IFERROR(VLOOKUP(A3,Цена!$A$1:$C$20,3,0),FALSE)</f>
        <v>120</v>
      </c>
      <c r="D3" s="59">
        <f>C3 * B3</f>
        <v>240</v>
      </c>
    </row>
    <row r="4" spans="1:4" ht="16" thickBot="1" x14ac:dyDescent="0.4">
      <c r="A4" s="56" t="s">
        <v>226</v>
      </c>
      <c r="B4" s="57">
        <v>1</v>
      </c>
      <c r="C4" s="59">
        <f>IFERROR(VLOOKUP(A4,Цена!$A$1:$C$20,3,0),FALSE)</f>
        <v>1522</v>
      </c>
      <c r="D4" s="59">
        <f t="shared" ref="D4:D26" si="0">C4 * B4</f>
        <v>1522</v>
      </c>
    </row>
    <row r="5" spans="1:4" ht="16" thickBot="1" x14ac:dyDescent="0.4">
      <c r="A5" s="56" t="s">
        <v>229</v>
      </c>
      <c r="B5" s="57">
        <v>2</v>
      </c>
      <c r="C5" s="59">
        <f>IFERROR(VLOOKUP(A5,Цена!$A$1:$C$20,3,0),FALSE)</f>
        <v>70</v>
      </c>
      <c r="D5" s="59">
        <f t="shared" si="0"/>
        <v>140</v>
      </c>
    </row>
    <row r="6" spans="1:4" ht="16" thickBot="1" x14ac:dyDescent="0.4">
      <c r="A6" s="56" t="s">
        <v>145</v>
      </c>
      <c r="B6" s="57">
        <v>5</v>
      </c>
      <c r="C6" s="59">
        <f>IFERROR(VLOOKUP(A6,Цена!$A$1:$C$20,3,0),FALSE)</f>
        <v>33</v>
      </c>
      <c r="D6" s="59">
        <f t="shared" si="0"/>
        <v>165</v>
      </c>
    </row>
    <row r="7" spans="1:4" ht="16" thickBot="1" x14ac:dyDescent="0.4">
      <c r="A7" s="56" t="s">
        <v>224</v>
      </c>
      <c r="B7" s="57">
        <v>5</v>
      </c>
      <c r="C7" s="59">
        <f>IFERROR(VLOOKUP(A7,Цена!$A$1:$C$20,3,0),FALSE)</f>
        <v>120</v>
      </c>
      <c r="D7" s="59">
        <f t="shared" si="0"/>
        <v>600</v>
      </c>
    </row>
    <row r="8" spans="1:4" ht="16" thickBot="1" x14ac:dyDescent="0.4">
      <c r="A8" s="56" t="s">
        <v>224</v>
      </c>
      <c r="B8" s="57">
        <v>4</v>
      </c>
      <c r="C8" s="59">
        <f>IFERROR(VLOOKUP(A8,Цена!$A$1:$C$20,3,0),FALSE)</f>
        <v>120</v>
      </c>
      <c r="D8" s="59">
        <f t="shared" si="0"/>
        <v>480</v>
      </c>
    </row>
    <row r="9" spans="1:4" ht="16" thickBot="1" x14ac:dyDescent="0.4">
      <c r="A9" s="56" t="s">
        <v>145</v>
      </c>
      <c r="B9" s="57">
        <v>10</v>
      </c>
      <c r="C9" s="59">
        <f>IFERROR(VLOOKUP(A9,Цена!$A$1:$C$20,3,0),FALSE)</f>
        <v>33</v>
      </c>
      <c r="D9" s="59">
        <f t="shared" si="0"/>
        <v>330</v>
      </c>
    </row>
    <row r="10" spans="1:4" ht="16" thickBot="1" x14ac:dyDescent="0.4">
      <c r="A10" s="56" t="s">
        <v>226</v>
      </c>
      <c r="B10" s="57">
        <v>1</v>
      </c>
      <c r="C10" s="59">
        <f>IFERROR(VLOOKUP(A10,Цена!$A$1:$C$20,3,0),FALSE)</f>
        <v>1522</v>
      </c>
      <c r="D10" s="59">
        <f t="shared" si="0"/>
        <v>1522</v>
      </c>
    </row>
    <row r="11" spans="1:4" ht="16" thickBot="1" x14ac:dyDescent="0.4">
      <c r="A11" s="56" t="s">
        <v>234</v>
      </c>
      <c r="B11" s="57">
        <v>2</v>
      </c>
      <c r="C11" s="59">
        <f>IFERROR(VLOOKUP(A11,Цена!$A$1:$C$20,3,0),FALSE)</f>
        <v>214</v>
      </c>
      <c r="D11" s="59">
        <f t="shared" si="0"/>
        <v>428</v>
      </c>
    </row>
    <row r="12" spans="1:4" ht="16" thickBot="1" x14ac:dyDescent="0.4">
      <c r="A12" s="56" t="s">
        <v>234</v>
      </c>
      <c r="B12" s="57">
        <v>5</v>
      </c>
      <c r="C12" s="59">
        <f>IFERROR(VLOOKUP(A12,Цена!$A$1:$C$20,3,0),FALSE)</f>
        <v>214</v>
      </c>
      <c r="D12" s="59">
        <f t="shared" si="0"/>
        <v>1070</v>
      </c>
    </row>
    <row r="13" spans="1:4" ht="16" thickBot="1" x14ac:dyDescent="0.4">
      <c r="A13" s="56" t="s">
        <v>229</v>
      </c>
      <c r="B13" s="57">
        <v>20</v>
      </c>
      <c r="C13" s="59">
        <f>IFERROR(VLOOKUP(A13,Цена!$A$1:$C$20,3,0),FALSE)</f>
        <v>70</v>
      </c>
      <c r="D13" s="59">
        <f t="shared" si="0"/>
        <v>1400</v>
      </c>
    </row>
    <row r="14" spans="1:4" ht="16" thickBot="1" x14ac:dyDescent="0.4">
      <c r="A14" s="56" t="s">
        <v>232</v>
      </c>
      <c r="B14" s="57">
        <v>1</v>
      </c>
      <c r="C14" s="59">
        <f>IFERROR(VLOOKUP(A14,Цена!$A$1:$C$20,3,0),FALSE)</f>
        <v>561</v>
      </c>
      <c r="D14" s="59">
        <f t="shared" si="0"/>
        <v>561</v>
      </c>
    </row>
    <row r="15" spans="1:4" ht="16" thickBot="1" x14ac:dyDescent="0.4">
      <c r="A15" s="56" t="s">
        <v>232</v>
      </c>
      <c r="B15" s="57">
        <v>2</v>
      </c>
      <c r="C15" s="59">
        <f>IFERROR(VLOOKUP(A15,Цена!$A$1:$C$20,3,0),FALSE)</f>
        <v>561</v>
      </c>
      <c r="D15" s="59">
        <f t="shared" si="0"/>
        <v>1122</v>
      </c>
    </row>
    <row r="16" spans="1:4" ht="16" thickBot="1" x14ac:dyDescent="0.4">
      <c r="A16" s="56" t="s">
        <v>229</v>
      </c>
      <c r="B16" s="57">
        <v>1</v>
      </c>
      <c r="C16" s="59">
        <f>IFERROR(VLOOKUP(A16,Цена!$A$1:$C$20,3,0),FALSE)</f>
        <v>70</v>
      </c>
      <c r="D16" s="59">
        <f t="shared" si="0"/>
        <v>70</v>
      </c>
    </row>
    <row r="17" spans="1:4" ht="16" thickBot="1" x14ac:dyDescent="0.4">
      <c r="A17" s="56" t="s">
        <v>233</v>
      </c>
      <c r="B17" s="57">
        <v>2</v>
      </c>
      <c r="C17" s="59">
        <f>IFERROR(VLOOKUP(A17,Цена!$A$1:$C$20,3,0),FALSE)</f>
        <v>1962</v>
      </c>
      <c r="D17" s="59">
        <f t="shared" si="0"/>
        <v>3924</v>
      </c>
    </row>
    <row r="18" spans="1:4" ht="16" thickBot="1" x14ac:dyDescent="0.4">
      <c r="A18" s="56" t="s">
        <v>235</v>
      </c>
      <c r="B18" s="57">
        <v>5</v>
      </c>
      <c r="C18" s="59">
        <f>IFERROR(VLOOKUP(A18,Цена!$A$1:$C$20,3,0),FALSE)</f>
        <v>195</v>
      </c>
      <c r="D18" s="59">
        <f t="shared" si="0"/>
        <v>975</v>
      </c>
    </row>
    <row r="19" spans="1:4" ht="16" thickBot="1" x14ac:dyDescent="0.4">
      <c r="A19" s="56" t="s">
        <v>234</v>
      </c>
      <c r="B19" s="57">
        <v>15</v>
      </c>
      <c r="C19" s="59">
        <f>IFERROR(VLOOKUP(A19,Цена!$A$1:$C$20,3,0),FALSE)</f>
        <v>214</v>
      </c>
      <c r="D19" s="59">
        <f t="shared" si="0"/>
        <v>3210</v>
      </c>
    </row>
    <row r="20" spans="1:4" ht="16" thickBot="1" x14ac:dyDescent="0.4">
      <c r="A20" s="56" t="s">
        <v>224</v>
      </c>
      <c r="B20" s="57">
        <v>22</v>
      </c>
      <c r="C20" s="59">
        <f>IFERROR(VLOOKUP(A20,Цена!$A$1:$C$20,3,0),FALSE)</f>
        <v>120</v>
      </c>
      <c r="D20" s="59">
        <f t="shared" si="0"/>
        <v>2640</v>
      </c>
    </row>
    <row r="21" spans="1:4" ht="16" thickBot="1" x14ac:dyDescent="0.4">
      <c r="A21" s="56" t="s">
        <v>233</v>
      </c>
      <c r="B21" s="57">
        <v>1</v>
      </c>
      <c r="C21" s="59">
        <f>IFERROR(VLOOKUP(A21,Цена!$A$1:$C$20,3,0),FALSE)</f>
        <v>1962</v>
      </c>
      <c r="D21" s="59">
        <f t="shared" si="0"/>
        <v>1962</v>
      </c>
    </row>
    <row r="22" spans="1:4" ht="16" thickBot="1" x14ac:dyDescent="0.4">
      <c r="A22" s="56" t="s">
        <v>235</v>
      </c>
      <c r="B22" s="57">
        <v>22</v>
      </c>
      <c r="C22" s="59">
        <f>IFERROR(VLOOKUP(A22,Цена!$A$1:$C$20,3,0),FALSE)</f>
        <v>195</v>
      </c>
      <c r="D22" s="59">
        <f t="shared" si="0"/>
        <v>4290</v>
      </c>
    </row>
    <row r="23" spans="1:4" ht="16" thickBot="1" x14ac:dyDescent="0.4">
      <c r="A23" s="56" t="s">
        <v>240</v>
      </c>
      <c r="B23" s="57">
        <v>15</v>
      </c>
      <c r="C23" s="59">
        <f>IFERROR(VLOOKUP(A23,Цена!$A$1:$C$20,3,0),FALSE)</f>
        <v>186</v>
      </c>
      <c r="D23" s="59">
        <f t="shared" si="0"/>
        <v>2790</v>
      </c>
    </row>
    <row r="24" spans="1:4" ht="16" thickBot="1" x14ac:dyDescent="0.4">
      <c r="A24" s="56" t="s">
        <v>233</v>
      </c>
      <c r="B24" s="57">
        <v>3</v>
      </c>
      <c r="C24" s="59">
        <f>IFERROR(VLOOKUP(A24,Цена!$A$1:$C$20,3,0),FALSE)</f>
        <v>1962</v>
      </c>
      <c r="D24" s="59">
        <f t="shared" si="0"/>
        <v>5886</v>
      </c>
    </row>
    <row r="25" spans="1:4" ht="16" thickBot="1" x14ac:dyDescent="0.4">
      <c r="A25" s="56" t="s">
        <v>234</v>
      </c>
      <c r="B25" s="57">
        <v>4</v>
      </c>
      <c r="C25" s="59">
        <f>IFERROR(VLOOKUP(A25,Цена!$A$1:$C$20,3,0),FALSE)</f>
        <v>214</v>
      </c>
      <c r="D25" s="59">
        <f t="shared" si="0"/>
        <v>856</v>
      </c>
    </row>
    <row r="26" spans="1:4" ht="16" thickBot="1" x14ac:dyDescent="0.4">
      <c r="A26" s="56" t="s">
        <v>239</v>
      </c>
      <c r="B26" s="57">
        <v>7</v>
      </c>
      <c r="C26" s="59">
        <f>IFERROR(VLOOKUP(A26,Цена!$A$1:$C$20,3,0),FALSE)</f>
        <v>30</v>
      </c>
      <c r="D26" s="59">
        <f t="shared" si="0"/>
        <v>210</v>
      </c>
    </row>
    <row r="27" spans="1:4" ht="16" thickBot="1" x14ac:dyDescent="0.4">
      <c r="A27" s="56" t="s">
        <v>240</v>
      </c>
      <c r="B27" s="57">
        <v>6</v>
      </c>
      <c r="C27" s="59">
        <f>IFERROR(VLOOKUP(A27,Цена!$A$1:$C$20,3,0),FALSE)</f>
        <v>186</v>
      </c>
      <c r="D27" s="59">
        <f>C27 * B27</f>
        <v>1116</v>
      </c>
    </row>
    <row r="28" spans="1:4" ht="15.5" x14ac:dyDescent="0.35">
      <c r="D28" s="60">
        <f>SUM(D3:D27)</f>
        <v>37509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0"/>
  <sheetViews>
    <sheetView workbookViewId="0">
      <selection activeCell="H21" sqref="H21"/>
    </sheetView>
  </sheetViews>
  <sheetFormatPr defaultRowHeight="14.5" x14ac:dyDescent="0.35"/>
  <cols>
    <col min="1" max="1" width="8.7265625" customWidth="1"/>
    <col min="2" max="2" width="13.6328125" customWidth="1"/>
    <col min="3" max="3" width="15" customWidth="1"/>
  </cols>
  <sheetData>
    <row r="1" spans="1:3" ht="15.5" thickBot="1" x14ac:dyDescent="0.4">
      <c r="A1" s="119" t="s">
        <v>220</v>
      </c>
      <c r="B1" s="120"/>
      <c r="C1" s="121"/>
    </row>
    <row r="2" spans="1:3" ht="15.5" thickBot="1" x14ac:dyDescent="0.4">
      <c r="A2" s="53" t="s">
        <v>221</v>
      </c>
      <c r="B2" s="54" t="s">
        <v>222</v>
      </c>
      <c r="C2" s="55" t="s">
        <v>223</v>
      </c>
    </row>
    <row r="3" spans="1:3" ht="16" thickBot="1" x14ac:dyDescent="0.4">
      <c r="A3" s="56" t="s">
        <v>224</v>
      </c>
      <c r="B3" s="57">
        <v>8048</v>
      </c>
      <c r="C3" s="57">
        <v>120</v>
      </c>
    </row>
    <row r="4" spans="1:3" ht="16" thickBot="1" x14ac:dyDescent="0.4">
      <c r="A4" s="56" t="s">
        <v>225</v>
      </c>
      <c r="B4" s="57">
        <v>17985</v>
      </c>
      <c r="C4" s="57">
        <v>52</v>
      </c>
    </row>
    <row r="5" spans="1:3" ht="16" thickBot="1" x14ac:dyDescent="0.4">
      <c r="A5" s="56" t="s">
        <v>145</v>
      </c>
      <c r="B5" s="57">
        <v>6085</v>
      </c>
      <c r="C5" s="57">
        <v>33</v>
      </c>
    </row>
    <row r="6" spans="1:3" ht="16" thickBot="1" x14ac:dyDescent="0.4">
      <c r="A6" s="56" t="s">
        <v>226</v>
      </c>
      <c r="B6" s="57">
        <v>78104</v>
      </c>
      <c r="C6" s="57">
        <v>1522</v>
      </c>
    </row>
    <row r="7" spans="1:3" ht="16" thickBot="1" x14ac:dyDescent="0.4">
      <c r="A7" s="56" t="s">
        <v>227</v>
      </c>
      <c r="B7" s="57">
        <v>444</v>
      </c>
      <c r="C7" s="57">
        <v>525</v>
      </c>
    </row>
    <row r="8" spans="1:3" ht="16" thickBot="1" x14ac:dyDescent="0.4">
      <c r="A8" s="56" t="s">
        <v>228</v>
      </c>
      <c r="B8" s="57">
        <v>105580</v>
      </c>
      <c r="C8" s="57">
        <v>185</v>
      </c>
    </row>
    <row r="9" spans="1:3" ht="16" thickBot="1" x14ac:dyDescent="0.4">
      <c r="A9" s="56" t="s">
        <v>229</v>
      </c>
      <c r="B9" s="57">
        <v>3130</v>
      </c>
      <c r="C9" s="57">
        <v>70</v>
      </c>
    </row>
    <row r="10" spans="1:3" ht="31.5" thickBot="1" x14ac:dyDescent="0.4">
      <c r="A10" s="56" t="s">
        <v>230</v>
      </c>
      <c r="B10" s="57">
        <v>78144</v>
      </c>
      <c r="C10" s="57">
        <v>254</v>
      </c>
    </row>
    <row r="11" spans="1:3" ht="31.5" thickBot="1" x14ac:dyDescent="0.4">
      <c r="A11" s="56" t="s">
        <v>231</v>
      </c>
      <c r="B11" s="57">
        <v>132691</v>
      </c>
      <c r="C11" s="57">
        <v>302</v>
      </c>
    </row>
    <row r="12" spans="1:3" ht="16" thickBot="1" x14ac:dyDescent="0.4">
      <c r="A12" s="56" t="s">
        <v>232</v>
      </c>
      <c r="B12" s="57">
        <v>107521</v>
      </c>
      <c r="C12" s="57">
        <v>561</v>
      </c>
    </row>
    <row r="13" spans="1:3" ht="16" thickBot="1" x14ac:dyDescent="0.4">
      <c r="A13" s="56" t="s">
        <v>233</v>
      </c>
      <c r="B13" s="57">
        <v>44949</v>
      </c>
      <c r="C13" s="57">
        <v>1962</v>
      </c>
    </row>
    <row r="14" spans="1:3" ht="31.5" thickBot="1" x14ac:dyDescent="0.4">
      <c r="A14" s="56" t="s">
        <v>234</v>
      </c>
      <c r="B14" s="57">
        <v>78099</v>
      </c>
      <c r="C14" s="57">
        <v>214</v>
      </c>
    </row>
    <row r="15" spans="1:3" ht="16" thickBot="1" x14ac:dyDescent="0.4">
      <c r="A15" s="56" t="s">
        <v>235</v>
      </c>
      <c r="B15" s="57">
        <v>144344</v>
      </c>
      <c r="C15" s="57">
        <v>195</v>
      </c>
    </row>
    <row r="16" spans="1:3" ht="31.5" thickBot="1" x14ac:dyDescent="0.4">
      <c r="A16" s="56" t="s">
        <v>236</v>
      </c>
      <c r="B16" s="57">
        <v>144343</v>
      </c>
      <c r="C16" s="57">
        <v>2305</v>
      </c>
    </row>
    <row r="17" spans="1:3" ht="16" thickBot="1" x14ac:dyDescent="0.4">
      <c r="A17" s="56" t="s">
        <v>237</v>
      </c>
      <c r="B17" s="57">
        <v>1835</v>
      </c>
      <c r="C17" s="57">
        <v>67</v>
      </c>
    </row>
    <row r="18" spans="1:3" ht="16" thickBot="1" x14ac:dyDescent="0.4">
      <c r="A18" s="56" t="s">
        <v>238</v>
      </c>
      <c r="B18" s="57">
        <v>78095</v>
      </c>
      <c r="C18" s="57">
        <v>273</v>
      </c>
    </row>
    <row r="19" spans="1:3" ht="16" thickBot="1" x14ac:dyDescent="0.4">
      <c r="A19" s="56" t="s">
        <v>239</v>
      </c>
      <c r="B19" s="58">
        <v>87423</v>
      </c>
      <c r="C19" s="57">
        <v>30</v>
      </c>
    </row>
    <row r="20" spans="1:3" ht="31.5" thickBot="1" x14ac:dyDescent="0.4">
      <c r="A20" s="56" t="s">
        <v>240</v>
      </c>
      <c r="B20" s="57">
        <v>87421</v>
      </c>
      <c r="C20" s="57">
        <v>186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1"/>
  <sheetViews>
    <sheetView topLeftCell="A10" workbookViewId="0">
      <selection activeCell="D37" sqref="D37"/>
    </sheetView>
  </sheetViews>
  <sheetFormatPr defaultRowHeight="14.5" x14ac:dyDescent="0.35"/>
  <cols>
    <col min="1" max="1" width="20.7265625" customWidth="1"/>
    <col min="4" max="4" width="14.6328125" customWidth="1"/>
    <col min="6" max="6" width="18.90625" customWidth="1"/>
    <col min="7" max="7" width="13.08984375" customWidth="1"/>
    <col min="10" max="10" width="12.36328125" customWidth="1"/>
    <col min="11" max="11" width="11.90625" customWidth="1"/>
    <col min="13" max="14" width="8.7265625" customWidth="1"/>
    <col min="15" max="15" width="11.08984375" customWidth="1"/>
  </cols>
  <sheetData>
    <row r="1" spans="1:7" ht="16" thickTop="1" thickBot="1" x14ac:dyDescent="0.4">
      <c r="A1" s="122" t="s">
        <v>244</v>
      </c>
      <c r="B1" s="123"/>
      <c r="C1" s="123"/>
      <c r="D1" s="124"/>
      <c r="F1" s="67" t="s">
        <v>260</v>
      </c>
      <c r="G1" s="68"/>
    </row>
    <row r="2" spans="1:7" ht="16" thickTop="1" thickBot="1" x14ac:dyDescent="0.4">
      <c r="A2" s="61" t="s">
        <v>245</v>
      </c>
      <c r="B2" s="61" t="s">
        <v>246</v>
      </c>
      <c r="C2" s="61" t="s">
        <v>247</v>
      </c>
      <c r="D2" s="62" t="s">
        <v>248</v>
      </c>
      <c r="F2" s="69" t="s">
        <v>245</v>
      </c>
      <c r="G2" s="70" t="s">
        <v>247</v>
      </c>
    </row>
    <row r="3" spans="1:7" ht="16.5" thickTop="1" thickBot="1" x14ac:dyDescent="0.4">
      <c r="A3" s="63" t="s">
        <v>249</v>
      </c>
      <c r="B3" s="64">
        <v>60</v>
      </c>
      <c r="C3" s="65"/>
      <c r="D3" s="66"/>
      <c r="F3" s="71" t="s">
        <v>258</v>
      </c>
      <c r="G3" s="72">
        <v>40</v>
      </c>
    </row>
    <row r="4" spans="1:7" ht="16" thickBot="1" x14ac:dyDescent="0.4">
      <c r="A4" s="63" t="s">
        <v>250</v>
      </c>
      <c r="B4" s="64">
        <v>40</v>
      </c>
      <c r="C4" s="65"/>
      <c r="D4" s="66"/>
      <c r="F4" s="73" t="s">
        <v>253</v>
      </c>
      <c r="G4" s="74">
        <v>120</v>
      </c>
    </row>
    <row r="5" spans="1:7" ht="16" thickBot="1" x14ac:dyDescent="0.4">
      <c r="A5" s="63" t="s">
        <v>251</v>
      </c>
      <c r="B5" s="64">
        <v>45</v>
      </c>
      <c r="C5" s="65"/>
      <c r="D5" s="66"/>
      <c r="F5" s="73" t="s">
        <v>261</v>
      </c>
      <c r="G5" s="74">
        <v>29</v>
      </c>
    </row>
    <row r="6" spans="1:7" ht="16" thickBot="1" x14ac:dyDescent="0.4">
      <c r="A6" s="63" t="s">
        <v>252</v>
      </c>
      <c r="B6" s="64">
        <v>23</v>
      </c>
      <c r="C6" s="65"/>
      <c r="D6" s="66"/>
      <c r="F6" s="73" t="s">
        <v>256</v>
      </c>
      <c r="G6" s="74">
        <v>22</v>
      </c>
    </row>
    <row r="7" spans="1:7" ht="16" thickBot="1" x14ac:dyDescent="0.4">
      <c r="A7" s="63" t="s">
        <v>252</v>
      </c>
      <c r="B7" s="64">
        <v>60</v>
      </c>
      <c r="C7" s="65"/>
      <c r="D7" s="66"/>
      <c r="F7" s="73" t="s">
        <v>255</v>
      </c>
      <c r="G7" s="74">
        <v>45</v>
      </c>
    </row>
    <row r="8" spans="1:7" ht="16" thickBot="1" x14ac:dyDescent="0.4">
      <c r="A8" s="63" t="s">
        <v>253</v>
      </c>
      <c r="B8" s="64">
        <v>10</v>
      </c>
      <c r="C8" s="65"/>
      <c r="D8" s="66"/>
      <c r="F8" s="73" t="s">
        <v>250</v>
      </c>
      <c r="G8" s="74">
        <v>38</v>
      </c>
    </row>
    <row r="9" spans="1:7" ht="16" thickBot="1" x14ac:dyDescent="0.4">
      <c r="A9" s="63" t="s">
        <v>254</v>
      </c>
      <c r="B9" s="64">
        <v>15</v>
      </c>
      <c r="C9" s="65"/>
      <c r="D9" s="66"/>
      <c r="F9" s="73" t="s">
        <v>252</v>
      </c>
      <c r="G9" s="74">
        <v>60</v>
      </c>
    </row>
    <row r="10" spans="1:7" ht="16" thickBot="1" x14ac:dyDescent="0.4">
      <c r="A10" s="63" t="s">
        <v>255</v>
      </c>
      <c r="B10" s="64">
        <v>14</v>
      </c>
      <c r="C10" s="65"/>
      <c r="D10" s="66"/>
      <c r="F10" s="73" t="s">
        <v>254</v>
      </c>
      <c r="G10" s="74">
        <v>80</v>
      </c>
    </row>
    <row r="11" spans="1:7" ht="16" thickBot="1" x14ac:dyDescent="0.4">
      <c r="A11" s="63" t="s">
        <v>256</v>
      </c>
      <c r="B11" s="64">
        <v>48</v>
      </c>
      <c r="C11" s="65"/>
      <c r="D11" s="66"/>
      <c r="F11" s="73" t="s">
        <v>251</v>
      </c>
      <c r="G11" s="74">
        <v>45</v>
      </c>
    </row>
    <row r="12" spans="1:7" ht="16" thickBot="1" x14ac:dyDescent="0.4">
      <c r="A12" s="63" t="s">
        <v>252</v>
      </c>
      <c r="B12" s="64">
        <v>15</v>
      </c>
      <c r="C12" s="65"/>
      <c r="D12" s="66"/>
      <c r="F12" s="73" t="s">
        <v>259</v>
      </c>
      <c r="G12" s="74">
        <v>40</v>
      </c>
    </row>
    <row r="13" spans="1:7" ht="16" thickBot="1" x14ac:dyDescent="0.4">
      <c r="A13" s="63" t="s">
        <v>252</v>
      </c>
      <c r="B13" s="64">
        <v>13</v>
      </c>
      <c r="C13" s="65"/>
      <c r="D13" s="66"/>
      <c r="F13" s="73" t="s">
        <v>257</v>
      </c>
      <c r="G13" s="74">
        <v>45</v>
      </c>
    </row>
    <row r="14" spans="1:7" ht="16" thickBot="1" x14ac:dyDescent="0.4">
      <c r="A14" s="63" t="s">
        <v>257</v>
      </c>
      <c r="B14" s="64">
        <v>42</v>
      </c>
      <c r="C14" s="65"/>
      <c r="D14" s="66"/>
      <c r="F14" s="73" t="s">
        <v>249</v>
      </c>
      <c r="G14" s="74">
        <v>23</v>
      </c>
    </row>
    <row r="15" spans="1:7" ht="16" thickBot="1" x14ac:dyDescent="0.4">
      <c r="A15" s="63" t="s">
        <v>258</v>
      </c>
      <c r="B15" s="64">
        <v>26</v>
      </c>
      <c r="C15" s="65"/>
      <c r="D15" s="66"/>
      <c r="F15" s="75" t="s">
        <v>258</v>
      </c>
      <c r="G15" s="76">
        <v>40</v>
      </c>
    </row>
    <row r="16" spans="1:7" ht="16" thickBot="1" x14ac:dyDescent="0.4">
      <c r="A16" s="63" t="s">
        <v>259</v>
      </c>
      <c r="B16" s="64">
        <v>14</v>
      </c>
      <c r="C16" s="65"/>
      <c r="D16" s="66"/>
    </row>
    <row r="23" spans="1:16" ht="16" thickBot="1" x14ac:dyDescent="0.4">
      <c r="A23" s="61" t="s">
        <v>245</v>
      </c>
      <c r="B23" s="63" t="s">
        <v>249</v>
      </c>
      <c r="C23" s="63" t="s">
        <v>250</v>
      </c>
      <c r="D23" s="63" t="s">
        <v>251</v>
      </c>
      <c r="E23" s="63" t="s">
        <v>252</v>
      </c>
      <c r="F23" s="63" t="s">
        <v>252</v>
      </c>
      <c r="G23" s="63" t="s">
        <v>253</v>
      </c>
      <c r="H23" s="63" t="s">
        <v>254</v>
      </c>
      <c r="I23" s="63" t="s">
        <v>255</v>
      </c>
      <c r="J23" s="63" t="s">
        <v>256</v>
      </c>
      <c r="K23" s="63" t="s">
        <v>252</v>
      </c>
      <c r="L23" s="63" t="s">
        <v>252</v>
      </c>
      <c r="M23" s="63" t="s">
        <v>257</v>
      </c>
      <c r="N23" s="63" t="s">
        <v>258</v>
      </c>
      <c r="O23" s="63" t="s">
        <v>259</v>
      </c>
    </row>
    <row r="24" spans="1:16" ht="16.5" thickTop="1" thickBot="1" x14ac:dyDescent="0.4">
      <c r="A24" s="61" t="s">
        <v>246</v>
      </c>
      <c r="B24" s="64">
        <v>60</v>
      </c>
      <c r="C24" s="64">
        <v>40</v>
      </c>
      <c r="D24" s="64">
        <v>45</v>
      </c>
      <c r="E24" s="64">
        <v>23</v>
      </c>
      <c r="F24" s="64">
        <v>60</v>
      </c>
      <c r="G24" s="64">
        <v>10</v>
      </c>
      <c r="H24" s="64">
        <v>15</v>
      </c>
      <c r="I24" s="64">
        <v>14</v>
      </c>
      <c r="J24" s="64">
        <v>48</v>
      </c>
      <c r="K24" s="64">
        <v>15</v>
      </c>
      <c r="L24" s="64">
        <v>13</v>
      </c>
      <c r="M24" s="64">
        <v>42</v>
      </c>
      <c r="N24" s="64">
        <v>26</v>
      </c>
      <c r="O24" s="64">
        <v>14</v>
      </c>
    </row>
    <row r="25" spans="1:16" ht="16.5" thickTop="1" thickBot="1" x14ac:dyDescent="0.4">
      <c r="A25" s="61" t="s">
        <v>247</v>
      </c>
      <c r="B25" s="65">
        <f>HLOOKUP(B23,$A$29:$M$30,2,0)</f>
        <v>23</v>
      </c>
      <c r="C25" s="65">
        <f t="shared" ref="C25:O25" si="0">HLOOKUP(C23,$A$29:$M$30,2,0)</f>
        <v>38</v>
      </c>
      <c r="D25" s="65">
        <f t="shared" si="0"/>
        <v>45</v>
      </c>
      <c r="E25" s="65">
        <f t="shared" si="0"/>
        <v>60</v>
      </c>
      <c r="F25" s="65">
        <f t="shared" si="0"/>
        <v>60</v>
      </c>
      <c r="G25" s="65">
        <f t="shared" si="0"/>
        <v>120</v>
      </c>
      <c r="H25" s="65">
        <f t="shared" si="0"/>
        <v>80</v>
      </c>
      <c r="I25" s="65">
        <f t="shared" si="0"/>
        <v>45</v>
      </c>
      <c r="J25" s="65">
        <f t="shared" si="0"/>
        <v>22</v>
      </c>
      <c r="K25" s="65">
        <f t="shared" si="0"/>
        <v>60</v>
      </c>
      <c r="L25" s="65">
        <f t="shared" si="0"/>
        <v>60</v>
      </c>
      <c r="M25" s="65">
        <f t="shared" si="0"/>
        <v>45</v>
      </c>
      <c r="N25" s="65">
        <f t="shared" si="0"/>
        <v>40</v>
      </c>
      <c r="O25" s="65">
        <f t="shared" si="0"/>
        <v>40</v>
      </c>
    </row>
    <row r="26" spans="1:16" ht="16.5" thickTop="1" thickBot="1" x14ac:dyDescent="0.4">
      <c r="A26" s="62" t="s">
        <v>248</v>
      </c>
      <c r="B26" s="66">
        <f>B25 * B24</f>
        <v>1380</v>
      </c>
      <c r="C26" s="66">
        <f t="shared" ref="C26:O26" si="1">C25 * C24</f>
        <v>1520</v>
      </c>
      <c r="D26" s="66">
        <f t="shared" si="1"/>
        <v>2025</v>
      </c>
      <c r="E26" s="66">
        <f t="shared" si="1"/>
        <v>1380</v>
      </c>
      <c r="F26" s="66">
        <f t="shared" si="1"/>
        <v>3600</v>
      </c>
      <c r="G26" s="66">
        <f t="shared" si="1"/>
        <v>1200</v>
      </c>
      <c r="H26" s="66">
        <f t="shared" si="1"/>
        <v>1200</v>
      </c>
      <c r="I26" s="66">
        <f t="shared" si="1"/>
        <v>630</v>
      </c>
      <c r="J26" s="66">
        <f t="shared" si="1"/>
        <v>1056</v>
      </c>
      <c r="K26" s="66">
        <f t="shared" si="1"/>
        <v>900</v>
      </c>
      <c r="L26" s="66">
        <f t="shared" si="1"/>
        <v>780</v>
      </c>
      <c r="M26" s="66">
        <f t="shared" si="1"/>
        <v>1890</v>
      </c>
      <c r="N26" s="66">
        <f t="shared" si="1"/>
        <v>1040</v>
      </c>
      <c r="O26" s="66">
        <f t="shared" si="1"/>
        <v>560</v>
      </c>
      <c r="P26" s="77">
        <f>SUM(B26:O26)</f>
        <v>19161</v>
      </c>
    </row>
    <row r="27" spans="1:16" ht="15" thickTop="1" x14ac:dyDescent="0.35"/>
    <row r="29" spans="1:16" ht="16" thickBot="1" x14ac:dyDescent="0.4">
      <c r="A29" s="69" t="s">
        <v>245</v>
      </c>
      <c r="B29" s="71" t="s">
        <v>258</v>
      </c>
      <c r="C29" s="73" t="s">
        <v>253</v>
      </c>
      <c r="D29" s="73" t="s">
        <v>261</v>
      </c>
      <c r="E29" s="73" t="s">
        <v>256</v>
      </c>
      <c r="F29" s="73" t="s">
        <v>255</v>
      </c>
      <c r="G29" s="73" t="s">
        <v>250</v>
      </c>
      <c r="H29" s="73" t="s">
        <v>252</v>
      </c>
      <c r="I29" s="73" t="s">
        <v>254</v>
      </c>
      <c r="J29" s="73" t="s">
        <v>251</v>
      </c>
      <c r="K29" s="73" t="s">
        <v>259</v>
      </c>
      <c r="L29" s="73" t="s">
        <v>257</v>
      </c>
      <c r="M29" s="73" t="s">
        <v>249</v>
      </c>
      <c r="N29" s="75" t="s">
        <v>258</v>
      </c>
    </row>
    <row r="30" spans="1:16" ht="16.5" thickTop="1" thickBot="1" x14ac:dyDescent="0.4">
      <c r="A30" s="70" t="s">
        <v>247</v>
      </c>
      <c r="B30" s="72">
        <v>40</v>
      </c>
      <c r="C30" s="74">
        <v>120</v>
      </c>
      <c r="D30" s="74">
        <v>29</v>
      </c>
      <c r="E30" s="74">
        <v>22</v>
      </c>
      <c r="F30" s="74">
        <v>45</v>
      </c>
      <c r="G30" s="74">
        <v>38</v>
      </c>
      <c r="H30" s="74">
        <v>60</v>
      </c>
      <c r="I30" s="74">
        <v>80</v>
      </c>
      <c r="J30" s="74">
        <v>45</v>
      </c>
      <c r="K30" s="74">
        <v>40</v>
      </c>
      <c r="L30" s="74">
        <v>45</v>
      </c>
      <c r="M30" s="74">
        <v>23</v>
      </c>
      <c r="N30" s="76">
        <v>40</v>
      </c>
    </row>
    <row r="31" spans="1:16" ht="15" thickTop="1" x14ac:dyDescent="0.35"/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"/>
  <sheetViews>
    <sheetView workbookViewId="0">
      <selection activeCell="C26" sqref="C26"/>
    </sheetView>
  </sheetViews>
  <sheetFormatPr defaultRowHeight="14.5" x14ac:dyDescent="0.35"/>
  <cols>
    <col min="1" max="1" width="14.7265625" customWidth="1"/>
    <col min="2" max="2" width="24.7265625" customWidth="1"/>
    <col min="3" max="3" width="22.90625" customWidth="1"/>
    <col min="4" max="4" width="19" customWidth="1"/>
  </cols>
  <sheetData>
    <row r="1" spans="1:4" ht="15.5" thickBot="1" x14ac:dyDescent="0.4">
      <c r="A1" s="125" t="s">
        <v>262</v>
      </c>
      <c r="B1" s="126"/>
      <c r="C1" s="126"/>
      <c r="D1" s="127"/>
    </row>
    <row r="2" spans="1:4" ht="15.5" thickBot="1" x14ac:dyDescent="0.4">
      <c r="A2" s="78" t="s">
        <v>222</v>
      </c>
      <c r="B2" s="79" t="s">
        <v>245</v>
      </c>
      <c r="C2" s="79" t="s">
        <v>248</v>
      </c>
      <c r="D2" s="80" t="s">
        <v>263</v>
      </c>
    </row>
    <row r="3" spans="1:4" ht="18" thickBot="1" x14ac:dyDescent="0.4">
      <c r="A3" s="71" t="s">
        <v>264</v>
      </c>
      <c r="B3" s="65" t="s">
        <v>265</v>
      </c>
      <c r="C3" s="64">
        <v>200</v>
      </c>
      <c r="D3" s="85">
        <f>VLOOKUP(A3,'Прайс 2020 г.'!$A$1:$C$10,3,0)</f>
        <v>250</v>
      </c>
    </row>
    <row r="4" spans="1:4" ht="18" thickBot="1" x14ac:dyDescent="0.4">
      <c r="A4" s="71" t="s">
        <v>266</v>
      </c>
      <c r="B4" s="65" t="s">
        <v>267</v>
      </c>
      <c r="C4" s="64">
        <v>43</v>
      </c>
      <c r="D4" s="85">
        <f>VLOOKUP(A4,'Прайс 2020 г.'!$A$1:$C$10,3,0)</f>
        <v>50</v>
      </c>
    </row>
    <row r="5" spans="1:4" ht="18" thickBot="1" x14ac:dyDescent="0.4">
      <c r="A5" s="71" t="s">
        <v>268</v>
      </c>
      <c r="B5" s="65" t="s">
        <v>269</v>
      </c>
      <c r="C5" s="64">
        <v>75</v>
      </c>
      <c r="D5" s="85">
        <f>VLOOKUP(A5,'Прайс 2020 г.'!$A$1:$C$10,3,0)</f>
        <v>85</v>
      </c>
    </row>
    <row r="6" spans="1:4" ht="18" thickBot="1" x14ac:dyDescent="0.4">
      <c r="A6" s="71" t="s">
        <v>270</v>
      </c>
      <c r="B6" s="65" t="s">
        <v>271</v>
      </c>
      <c r="C6" s="64">
        <v>55</v>
      </c>
      <c r="D6" s="85">
        <f>VLOOKUP(A6,'Прайс 2020 г.'!$A$1:$C$10,3,0)</f>
        <v>60</v>
      </c>
    </row>
    <row r="7" spans="1:4" ht="18" thickBot="1" x14ac:dyDescent="0.4">
      <c r="A7" s="71" t="s">
        <v>272</v>
      </c>
      <c r="B7" s="65" t="s">
        <v>273</v>
      </c>
      <c r="C7" s="64">
        <v>76</v>
      </c>
      <c r="D7" s="85">
        <f>VLOOKUP(A7,'Прайс 2020 г.'!$A$1:$C$10,3,0)</f>
        <v>80</v>
      </c>
    </row>
    <row r="8" spans="1:4" ht="18" thickBot="1" x14ac:dyDescent="0.4">
      <c r="A8" s="71" t="s">
        <v>274</v>
      </c>
      <c r="B8" s="65" t="s">
        <v>275</v>
      </c>
      <c r="C8" s="64">
        <v>435</v>
      </c>
      <c r="D8" s="85">
        <f>VLOOKUP(A8,'Прайс 2020 г.'!$A$1:$C$10,3,0)</f>
        <v>450</v>
      </c>
    </row>
    <row r="9" spans="1:4" ht="18" thickBot="1" x14ac:dyDescent="0.4">
      <c r="A9" s="71" t="s">
        <v>278</v>
      </c>
      <c r="B9" s="65" t="s">
        <v>276</v>
      </c>
      <c r="C9" s="83">
        <v>500</v>
      </c>
      <c r="D9" s="85">
        <f>VLOOKUP(A9,'Прайс 2020 г.'!$A$1:$C$10,3,0)</f>
        <v>500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1"/>
  <sheetViews>
    <sheetView topLeftCell="B1" workbookViewId="0">
      <selection activeCell="C32" sqref="C32"/>
    </sheetView>
  </sheetViews>
  <sheetFormatPr defaultRowHeight="14.5" x14ac:dyDescent="0.35"/>
  <cols>
    <col min="1" max="1" width="12.453125" customWidth="1"/>
    <col min="2" max="2" width="25" customWidth="1"/>
    <col min="3" max="3" width="21.6328125" customWidth="1"/>
  </cols>
  <sheetData>
    <row r="1" spans="1:3" ht="16" thickTop="1" thickBot="1" x14ac:dyDescent="0.4">
      <c r="A1" s="128" t="s">
        <v>277</v>
      </c>
      <c r="B1" s="129"/>
      <c r="C1" s="130"/>
    </row>
    <row r="2" spans="1:3" ht="15.5" thickBot="1" x14ac:dyDescent="0.4">
      <c r="A2" s="78" t="s">
        <v>222</v>
      </c>
      <c r="B2" s="79" t="s">
        <v>245</v>
      </c>
      <c r="C2" s="80" t="s">
        <v>263</v>
      </c>
    </row>
    <row r="3" spans="1:3" ht="16" thickBot="1" x14ac:dyDescent="0.4">
      <c r="A3" s="71" t="s">
        <v>266</v>
      </c>
      <c r="B3" s="65" t="s">
        <v>267</v>
      </c>
      <c r="C3" s="72">
        <v>50</v>
      </c>
    </row>
    <row r="4" spans="1:3" ht="16" thickBot="1" x14ac:dyDescent="0.4">
      <c r="A4" s="71" t="s">
        <v>264</v>
      </c>
      <c r="B4" s="65" t="s">
        <v>265</v>
      </c>
      <c r="C4" s="72">
        <v>250</v>
      </c>
    </row>
    <row r="5" spans="1:3" ht="16" thickBot="1" x14ac:dyDescent="0.4">
      <c r="A5" s="71" t="s">
        <v>272</v>
      </c>
      <c r="B5" s="65" t="s">
        <v>273</v>
      </c>
      <c r="C5" s="72">
        <v>80</v>
      </c>
    </row>
    <row r="6" spans="1:3" ht="16" thickBot="1" x14ac:dyDescent="0.4">
      <c r="A6" s="71" t="s">
        <v>268</v>
      </c>
      <c r="B6" s="65" t="s">
        <v>269</v>
      </c>
      <c r="C6" s="72">
        <v>85</v>
      </c>
    </row>
    <row r="7" spans="1:3" ht="16" thickBot="1" x14ac:dyDescent="0.4">
      <c r="A7" s="71" t="s">
        <v>270</v>
      </c>
      <c r="B7" s="65" t="s">
        <v>271</v>
      </c>
      <c r="C7" s="72">
        <v>60</v>
      </c>
    </row>
    <row r="8" spans="1:3" ht="16" thickBot="1" x14ac:dyDescent="0.4">
      <c r="A8" s="71" t="s">
        <v>274</v>
      </c>
      <c r="B8" s="65" t="s">
        <v>275</v>
      </c>
      <c r="C8" s="72">
        <v>450</v>
      </c>
    </row>
    <row r="9" spans="1:3" ht="16" thickBot="1" x14ac:dyDescent="0.4">
      <c r="A9" s="71" t="s">
        <v>278</v>
      </c>
      <c r="B9" s="65" t="s">
        <v>276</v>
      </c>
      <c r="C9" s="72">
        <v>500</v>
      </c>
    </row>
    <row r="10" spans="1:3" ht="16" thickBot="1" x14ac:dyDescent="0.4">
      <c r="A10" s="81" t="s">
        <v>279</v>
      </c>
      <c r="B10" s="82" t="s">
        <v>280</v>
      </c>
      <c r="C10" s="84">
        <v>280</v>
      </c>
    </row>
    <row r="11" spans="1:3" ht="15" thickTop="1" x14ac:dyDescent="0.35"/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"/>
  <sheetViews>
    <sheetView workbookViewId="0">
      <selection activeCell="B6" sqref="B6"/>
    </sheetView>
  </sheetViews>
  <sheetFormatPr defaultRowHeight="14.5" x14ac:dyDescent="0.35"/>
  <cols>
    <col min="2" max="2" width="17.7265625" customWidth="1"/>
    <col min="3" max="3" width="12.90625" customWidth="1"/>
    <col min="6" max="6" width="15.26953125" customWidth="1"/>
    <col min="8" max="8" width="11.90625" customWidth="1"/>
  </cols>
  <sheetData>
    <row r="1" spans="1:9" ht="15.5" x14ac:dyDescent="0.35">
      <c r="A1" s="8" t="s">
        <v>281</v>
      </c>
      <c r="B1" s="8" t="s">
        <v>282</v>
      </c>
      <c r="C1" s="8" t="s">
        <v>283</v>
      </c>
      <c r="D1" s="8" t="s">
        <v>12</v>
      </c>
      <c r="E1" s="8" t="s">
        <v>284</v>
      </c>
      <c r="F1" s="8" t="s">
        <v>11</v>
      </c>
      <c r="G1" s="8" t="s">
        <v>285</v>
      </c>
      <c r="H1" s="8" t="s">
        <v>286</v>
      </c>
      <c r="I1" s="8"/>
    </row>
    <row r="2" spans="1:9" ht="15.5" x14ac:dyDescent="0.35">
      <c r="A2" s="8" t="s">
        <v>287</v>
      </c>
      <c r="B2" s="8">
        <v>5</v>
      </c>
      <c r="C2" s="8">
        <v>4</v>
      </c>
      <c r="D2" s="8">
        <v>2</v>
      </c>
      <c r="E2" s="8">
        <v>3</v>
      </c>
      <c r="F2" s="8">
        <v>1</v>
      </c>
      <c r="G2" s="8">
        <v>4</v>
      </c>
      <c r="H2" s="8">
        <v>2</v>
      </c>
      <c r="I2" s="8"/>
    </row>
    <row r="3" spans="1:9" ht="15.5" x14ac:dyDescent="0.35">
      <c r="A3" s="8"/>
      <c r="B3" s="8"/>
      <c r="C3" s="8"/>
      <c r="D3" s="8"/>
      <c r="E3" s="8"/>
      <c r="F3" s="8"/>
      <c r="G3" s="8"/>
      <c r="H3" s="8"/>
      <c r="I3" s="8"/>
    </row>
    <row r="4" spans="1:9" ht="15.5" x14ac:dyDescent="0.35">
      <c r="A4" s="8"/>
      <c r="B4" s="8"/>
      <c r="C4" s="8"/>
      <c r="D4" s="8"/>
      <c r="E4" s="8"/>
      <c r="F4" s="8"/>
      <c r="G4" s="8"/>
      <c r="H4" s="8"/>
      <c r="I4" s="8"/>
    </row>
    <row r="5" spans="1:9" ht="31" x14ac:dyDescent="0.35">
      <c r="A5" s="137" t="s">
        <v>288</v>
      </c>
      <c r="B5" s="138" t="s">
        <v>12</v>
      </c>
      <c r="C5" s="8"/>
      <c r="D5" s="8"/>
      <c r="E5" s="8"/>
      <c r="F5" s="8"/>
      <c r="G5" s="8"/>
      <c r="H5" s="8"/>
      <c r="I5" s="8"/>
    </row>
    <row r="6" spans="1:9" ht="15.5" x14ac:dyDescent="0.35">
      <c r="A6" s="8" t="s">
        <v>287</v>
      </c>
      <c r="B6" s="136">
        <f>HLOOKUP(B5,$A$1:$H$2,2,0)</f>
        <v>2</v>
      </c>
      <c r="C6" s="8"/>
      <c r="D6" s="8"/>
      <c r="E6" s="8"/>
      <c r="F6" s="8"/>
      <c r="G6" s="8"/>
      <c r="H6" s="8"/>
      <c r="I6" s="8"/>
    </row>
    <row r="7" spans="1:9" ht="15.5" x14ac:dyDescent="0.35">
      <c r="A7" s="8"/>
      <c r="B7" s="8"/>
      <c r="C7" s="8"/>
      <c r="D7" s="8"/>
      <c r="E7" s="8"/>
      <c r="F7" s="8"/>
      <c r="G7" s="8"/>
      <c r="H7" s="8"/>
      <c r="I7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8"/>
  <sheetViews>
    <sheetView tabSelected="1" workbookViewId="0">
      <selection activeCell="J20" sqref="J20"/>
    </sheetView>
  </sheetViews>
  <sheetFormatPr defaultRowHeight="14.5" x14ac:dyDescent="0.35"/>
  <cols>
    <col min="1" max="1" width="12.453125" customWidth="1"/>
    <col min="2" max="2" width="12.7265625" customWidth="1"/>
    <col min="4" max="4" width="11.6328125" customWidth="1"/>
    <col min="5" max="5" width="10.90625" customWidth="1"/>
    <col min="7" max="7" width="14.7265625" customWidth="1"/>
    <col min="8" max="8" width="9" customWidth="1"/>
    <col min="11" max="11" width="11.7265625" customWidth="1"/>
    <col min="12" max="12" width="9.453125" customWidth="1"/>
  </cols>
  <sheetData>
    <row r="1" spans="1:12" ht="29" x14ac:dyDescent="0.35">
      <c r="A1" s="89" t="s">
        <v>299</v>
      </c>
      <c r="B1" s="89" t="s">
        <v>289</v>
      </c>
      <c r="C1" s="90"/>
      <c r="D1" s="89" t="s">
        <v>289</v>
      </c>
      <c r="E1" s="89" t="s">
        <v>290</v>
      </c>
      <c r="F1" s="86"/>
      <c r="G1" s="92" t="s">
        <v>291</v>
      </c>
      <c r="H1" s="88">
        <v>101.85</v>
      </c>
      <c r="I1" s="86"/>
    </row>
    <row r="2" spans="1:12" x14ac:dyDescent="0.35">
      <c r="A2" s="87">
        <v>101</v>
      </c>
      <c r="B2" s="87" t="s">
        <v>294</v>
      </c>
      <c r="C2" s="86"/>
      <c r="D2" s="87" t="s">
        <v>294</v>
      </c>
      <c r="E2" s="87">
        <v>110</v>
      </c>
      <c r="F2" s="86"/>
      <c r="G2" s="86"/>
      <c r="H2" s="86"/>
      <c r="I2" s="86"/>
    </row>
    <row r="3" spans="1:12" x14ac:dyDescent="0.35">
      <c r="A3" s="87">
        <v>102</v>
      </c>
      <c r="B3" s="87" t="s">
        <v>294</v>
      </c>
      <c r="C3" s="86"/>
      <c r="D3" s="87" t="s">
        <v>295</v>
      </c>
      <c r="E3" s="87">
        <v>200</v>
      </c>
      <c r="F3" s="86"/>
      <c r="G3" s="91" t="s">
        <v>292</v>
      </c>
      <c r="H3" s="135">
        <v>0.05</v>
      </c>
      <c r="I3" s="86"/>
      <c r="K3" s="91" t="s">
        <v>292</v>
      </c>
      <c r="L3" s="135">
        <v>0.05</v>
      </c>
    </row>
    <row r="4" spans="1:12" ht="31" customHeight="1" x14ac:dyDescent="0.35">
      <c r="A4" s="93">
        <v>103</v>
      </c>
      <c r="B4" s="93" t="s">
        <v>294</v>
      </c>
      <c r="C4" s="86"/>
      <c r="D4" s="93" t="s">
        <v>296</v>
      </c>
      <c r="E4" s="93">
        <v>150</v>
      </c>
      <c r="F4" s="86"/>
      <c r="G4" s="92" t="s">
        <v>293</v>
      </c>
      <c r="H4" s="93">
        <v>9</v>
      </c>
      <c r="I4" s="86"/>
      <c r="K4" s="139" t="s">
        <v>313</v>
      </c>
      <c r="L4" s="93">
        <v>9</v>
      </c>
    </row>
    <row r="5" spans="1:12" x14ac:dyDescent="0.35">
      <c r="A5" s="87">
        <v>104</v>
      </c>
      <c r="B5" s="87" t="s">
        <v>295</v>
      </c>
      <c r="C5" s="86"/>
      <c r="D5" s="86"/>
      <c r="E5" s="86"/>
      <c r="F5" s="86"/>
      <c r="G5" s="86"/>
      <c r="H5" s="86"/>
      <c r="I5" s="86"/>
    </row>
    <row r="6" spans="1:12" x14ac:dyDescent="0.35">
      <c r="A6" s="87">
        <v>105</v>
      </c>
      <c r="B6" s="87" t="s">
        <v>296</v>
      </c>
      <c r="C6" s="86"/>
      <c r="D6" s="86"/>
      <c r="E6" s="86"/>
      <c r="F6" s="86"/>
      <c r="G6" s="86"/>
      <c r="H6" s="86"/>
      <c r="I6" s="86"/>
      <c r="K6" s="91" t="s">
        <v>292</v>
      </c>
      <c r="L6" s="135">
        <v>0.1</v>
      </c>
    </row>
    <row r="7" spans="1:12" ht="29" x14ac:dyDescent="0.35">
      <c r="A7" s="87">
        <v>106</v>
      </c>
      <c r="B7" s="87" t="s">
        <v>296</v>
      </c>
      <c r="C7" s="86"/>
      <c r="D7" s="86"/>
      <c r="E7" s="86"/>
      <c r="F7" s="86"/>
      <c r="G7" s="86"/>
      <c r="H7" s="86"/>
      <c r="I7" s="86"/>
      <c r="K7" s="139" t="s">
        <v>312</v>
      </c>
      <c r="L7" s="93">
        <v>15</v>
      </c>
    </row>
    <row r="8" spans="1:12" x14ac:dyDescent="0.35">
      <c r="A8" s="87">
        <v>107</v>
      </c>
      <c r="B8" s="87" t="s">
        <v>296</v>
      </c>
      <c r="C8" s="86"/>
      <c r="D8" s="86"/>
      <c r="E8" s="86"/>
      <c r="F8" s="86"/>
      <c r="G8" s="86"/>
      <c r="H8" s="86"/>
      <c r="I8" s="86"/>
    </row>
    <row r="9" spans="1:12" x14ac:dyDescent="0.35">
      <c r="A9" s="87">
        <v>201</v>
      </c>
      <c r="B9" s="87" t="s">
        <v>296</v>
      </c>
      <c r="C9" s="86"/>
      <c r="D9" s="86"/>
      <c r="E9" s="86"/>
      <c r="F9" s="86"/>
      <c r="G9" s="86"/>
      <c r="H9" s="86"/>
      <c r="I9" s="86"/>
      <c r="K9" s="140"/>
      <c r="L9" s="141"/>
    </row>
    <row r="10" spans="1:12" x14ac:dyDescent="0.35">
      <c r="A10" s="87">
        <v>202</v>
      </c>
      <c r="B10" s="87" t="s">
        <v>295</v>
      </c>
      <c r="C10" s="86"/>
      <c r="D10" s="86"/>
      <c r="E10" s="86"/>
      <c r="F10" s="86"/>
      <c r="G10" s="86"/>
      <c r="H10" s="86"/>
      <c r="I10" s="86"/>
      <c r="K10" s="142"/>
      <c r="L10" s="143"/>
    </row>
    <row r="11" spans="1:12" x14ac:dyDescent="0.35">
      <c r="A11" s="87">
        <v>203</v>
      </c>
      <c r="B11" s="87" t="s">
        <v>295</v>
      </c>
      <c r="C11" s="86"/>
      <c r="D11" s="86"/>
      <c r="E11" s="86"/>
      <c r="F11" s="86"/>
      <c r="G11" s="86"/>
      <c r="H11" s="86"/>
      <c r="I11" s="86"/>
    </row>
    <row r="12" spans="1:12" x14ac:dyDescent="0.35">
      <c r="A12" s="87">
        <v>204</v>
      </c>
      <c r="B12" s="87" t="s">
        <v>295</v>
      </c>
      <c r="C12" s="86"/>
      <c r="D12" s="86"/>
      <c r="E12" s="86"/>
      <c r="F12" s="86"/>
      <c r="G12" s="86"/>
      <c r="H12" s="86"/>
      <c r="I12" s="86"/>
    </row>
    <row r="13" spans="1:12" ht="16.5" customHeight="1" x14ac:dyDescent="0.35">
      <c r="A13" s="87">
        <v>205</v>
      </c>
      <c r="B13" s="87" t="s">
        <v>294</v>
      </c>
      <c r="C13" s="86"/>
      <c r="D13" s="86"/>
      <c r="E13" s="86"/>
      <c r="F13" s="86"/>
      <c r="G13" s="86"/>
      <c r="H13" s="86"/>
      <c r="I13" s="86"/>
    </row>
    <row r="14" spans="1:12" ht="13.5" customHeight="1" x14ac:dyDescent="0.35">
      <c r="A14" s="87">
        <v>206</v>
      </c>
      <c r="B14" s="87" t="s">
        <v>294</v>
      </c>
      <c r="C14" s="86"/>
      <c r="D14" s="86"/>
      <c r="E14" s="86"/>
      <c r="F14" s="86"/>
      <c r="G14" s="86"/>
      <c r="H14" s="86"/>
      <c r="I14" s="86"/>
    </row>
    <row r="15" spans="1:12" ht="18.75" customHeight="1" x14ac:dyDescent="0.35">
      <c r="A15" s="87">
        <v>207</v>
      </c>
      <c r="B15" s="87" t="s">
        <v>294</v>
      </c>
      <c r="C15" s="86"/>
      <c r="D15" s="86"/>
      <c r="E15" s="86"/>
      <c r="F15" s="86"/>
      <c r="G15" s="86"/>
      <c r="H15" s="86"/>
      <c r="I15" s="86"/>
    </row>
    <row r="16" spans="1:12" ht="17.25" customHeight="1" x14ac:dyDescent="0.35">
      <c r="A16" s="87">
        <v>208</v>
      </c>
      <c r="B16" s="87" t="s">
        <v>294</v>
      </c>
      <c r="C16" s="86"/>
      <c r="D16" s="86"/>
      <c r="E16" s="86"/>
      <c r="F16" s="86"/>
      <c r="G16" s="86"/>
      <c r="H16" s="86"/>
      <c r="I16" s="86"/>
    </row>
    <row r="17" spans="1:9" x14ac:dyDescent="0.35">
      <c r="A17" s="86"/>
      <c r="B17" s="86"/>
      <c r="C17" s="86"/>
      <c r="D17" s="86"/>
      <c r="E17" s="86"/>
      <c r="F17" s="86"/>
      <c r="G17" s="86"/>
      <c r="H17" s="86"/>
      <c r="I17" s="86"/>
    </row>
    <row r="18" spans="1:9" x14ac:dyDescent="0.35">
      <c r="A18" s="86"/>
      <c r="B18" s="86"/>
      <c r="C18" s="86"/>
      <c r="D18" s="86"/>
      <c r="E18" s="86"/>
      <c r="F18" s="86"/>
      <c r="G18" s="86"/>
      <c r="H18" s="86"/>
      <c r="I18" s="8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7"/>
  <sheetViews>
    <sheetView workbookViewId="0">
      <selection activeCell="G20" sqref="G20"/>
    </sheetView>
  </sheetViews>
  <sheetFormatPr defaultRowHeight="14.5" x14ac:dyDescent="0.35"/>
  <cols>
    <col min="1" max="1" width="21.90625" customWidth="1"/>
    <col min="2" max="2" width="23.26953125" customWidth="1"/>
    <col min="4" max="4" width="14.6328125" customWidth="1"/>
    <col min="5" max="5" width="13.26953125" customWidth="1"/>
    <col min="6" max="6" width="9.36328125" bestFit="1" customWidth="1"/>
  </cols>
  <sheetData>
    <row r="1" spans="1:8" ht="28.5" customHeight="1" x14ac:dyDescent="0.35">
      <c r="A1" s="132" t="s">
        <v>297</v>
      </c>
      <c r="B1" s="132" t="s">
        <v>298</v>
      </c>
      <c r="C1" s="132" t="s">
        <v>299</v>
      </c>
      <c r="D1" s="131" t="s">
        <v>289</v>
      </c>
      <c r="E1" s="132" t="s">
        <v>300</v>
      </c>
      <c r="F1" s="131" t="s">
        <v>301</v>
      </c>
      <c r="G1" s="131"/>
      <c r="H1" s="131" t="s">
        <v>304</v>
      </c>
    </row>
    <row r="2" spans="1:8" ht="31.5" customHeight="1" x14ac:dyDescent="0.35">
      <c r="A2" s="132"/>
      <c r="B2" s="132"/>
      <c r="C2" s="132"/>
      <c r="D2" s="131"/>
      <c r="E2" s="132"/>
      <c r="F2" s="97" t="s">
        <v>302</v>
      </c>
      <c r="G2" s="97" t="s">
        <v>303</v>
      </c>
      <c r="H2" s="131"/>
    </row>
    <row r="3" spans="1:8" ht="15.5" x14ac:dyDescent="0.35">
      <c r="A3" s="98">
        <v>1</v>
      </c>
      <c r="B3" s="99" t="s">
        <v>305</v>
      </c>
      <c r="C3" s="99">
        <v>104</v>
      </c>
      <c r="D3" s="94" t="str">
        <f t="shared" ref="D3:D9" si="0">VLOOKUP(C3,Комнаты,2,0)</f>
        <v>Люкс</v>
      </c>
      <c r="E3" s="14">
        <v>10</v>
      </c>
      <c r="F3" s="103">
        <f t="shared" ref="F3:F9" si="1">VLOOKUP(D3,Цены,2,0)</f>
        <v>200</v>
      </c>
      <c r="G3" s="99">
        <f t="shared" ref="G3:G9" si="2">F3*Курс_доллара</f>
        <v>20370</v>
      </c>
      <c r="H3" s="99">
        <f t="shared" ref="H3:H9" si="3">G3*E3</f>
        <v>203700</v>
      </c>
    </row>
    <row r="4" spans="1:8" ht="15.5" x14ac:dyDescent="0.35">
      <c r="A4" s="98">
        <v>2</v>
      </c>
      <c r="B4" s="99" t="s">
        <v>306</v>
      </c>
      <c r="C4" s="99">
        <v>201</v>
      </c>
      <c r="D4" s="94" t="str">
        <f t="shared" si="0"/>
        <v>Двухкомн</v>
      </c>
      <c r="E4" s="14">
        <v>9</v>
      </c>
      <c r="F4" s="103">
        <f t="shared" si="1"/>
        <v>150</v>
      </c>
      <c r="G4" s="99">
        <f t="shared" si="2"/>
        <v>15277.5</v>
      </c>
      <c r="H4" s="99">
        <f t="shared" si="3"/>
        <v>137497.5</v>
      </c>
    </row>
    <row r="5" spans="1:8" ht="15.5" x14ac:dyDescent="0.35">
      <c r="A5" s="98">
        <v>3</v>
      </c>
      <c r="B5" s="99" t="s">
        <v>307</v>
      </c>
      <c r="C5" s="99">
        <v>203</v>
      </c>
      <c r="D5" s="94" t="str">
        <f t="shared" si="0"/>
        <v>Люкс</v>
      </c>
      <c r="E5" s="14">
        <v>6</v>
      </c>
      <c r="F5" s="103">
        <f t="shared" si="1"/>
        <v>200</v>
      </c>
      <c r="G5" s="99">
        <f t="shared" si="2"/>
        <v>20370</v>
      </c>
      <c r="H5" s="99">
        <f t="shared" si="3"/>
        <v>122220</v>
      </c>
    </row>
    <row r="6" spans="1:8" ht="15.5" x14ac:dyDescent="0.35">
      <c r="A6" s="98">
        <v>4</v>
      </c>
      <c r="B6" s="99" t="s">
        <v>308</v>
      </c>
      <c r="C6" s="99">
        <v>106</v>
      </c>
      <c r="D6" s="94" t="str">
        <f t="shared" si="0"/>
        <v>Двухкомн</v>
      </c>
      <c r="E6" s="14">
        <v>7</v>
      </c>
      <c r="F6" s="103">
        <f t="shared" si="1"/>
        <v>150</v>
      </c>
      <c r="G6" s="99">
        <f t="shared" si="2"/>
        <v>15277.5</v>
      </c>
      <c r="H6" s="99">
        <f t="shared" si="3"/>
        <v>106942.5</v>
      </c>
    </row>
    <row r="7" spans="1:8" ht="15.5" x14ac:dyDescent="0.35">
      <c r="A7" s="98">
        <v>5</v>
      </c>
      <c r="B7" s="99" t="s">
        <v>309</v>
      </c>
      <c r="C7" s="99">
        <v>202</v>
      </c>
      <c r="D7" s="94" t="str">
        <f t="shared" si="0"/>
        <v>Люкс</v>
      </c>
      <c r="E7" s="14">
        <v>5</v>
      </c>
      <c r="F7" s="103">
        <f t="shared" si="1"/>
        <v>200</v>
      </c>
      <c r="G7" s="99">
        <f t="shared" si="2"/>
        <v>20370</v>
      </c>
      <c r="H7" s="99">
        <f t="shared" si="3"/>
        <v>101850</v>
      </c>
    </row>
    <row r="8" spans="1:8" ht="15.5" x14ac:dyDescent="0.35">
      <c r="A8" s="98">
        <v>6</v>
      </c>
      <c r="B8" s="99" t="s">
        <v>310</v>
      </c>
      <c r="C8" s="99">
        <v>208</v>
      </c>
      <c r="D8" s="94" t="str">
        <f t="shared" si="0"/>
        <v>Однокомн</v>
      </c>
      <c r="E8" s="14">
        <v>18</v>
      </c>
      <c r="F8" s="103">
        <f t="shared" si="1"/>
        <v>110</v>
      </c>
      <c r="G8" s="99">
        <f t="shared" si="2"/>
        <v>11203.5</v>
      </c>
      <c r="H8" s="99">
        <f t="shared" si="3"/>
        <v>201663</v>
      </c>
    </row>
    <row r="9" spans="1:8" ht="15.5" x14ac:dyDescent="0.35">
      <c r="A9" s="98">
        <v>7</v>
      </c>
      <c r="B9" s="99" t="s">
        <v>311</v>
      </c>
      <c r="C9" s="99">
        <v>205</v>
      </c>
      <c r="D9" s="94" t="str">
        <f t="shared" si="0"/>
        <v>Однокомн</v>
      </c>
      <c r="E9" s="14">
        <v>6</v>
      </c>
      <c r="F9" s="103">
        <f t="shared" si="1"/>
        <v>110</v>
      </c>
      <c r="G9" s="99">
        <f t="shared" si="2"/>
        <v>11203.5</v>
      </c>
      <c r="H9" s="99">
        <f t="shared" si="3"/>
        <v>67221</v>
      </c>
    </row>
    <row r="11" spans="1:8" ht="17.5" x14ac:dyDescent="0.35">
      <c r="A11" s="95"/>
      <c r="B11" s="95"/>
    </row>
    <row r="12" spans="1:8" ht="18" x14ac:dyDescent="0.35">
      <c r="A12" s="96"/>
      <c r="B12" s="96"/>
    </row>
    <row r="13" spans="1:8" ht="18" x14ac:dyDescent="0.35">
      <c r="A13" s="96"/>
      <c r="B13" s="96"/>
    </row>
    <row r="14" spans="1:8" ht="18" x14ac:dyDescent="0.35">
      <c r="A14" s="96"/>
      <c r="B14" s="96"/>
    </row>
    <row r="15" spans="1:8" ht="18" x14ac:dyDescent="0.35">
      <c r="A15" s="96"/>
      <c r="B15" s="96"/>
    </row>
    <row r="16" spans="1:8" ht="18" x14ac:dyDescent="0.35">
      <c r="A16" s="96"/>
      <c r="B16" s="96"/>
    </row>
    <row r="17" spans="1:2" ht="18" x14ac:dyDescent="0.35">
      <c r="A17" s="96"/>
      <c r="B17" s="96"/>
    </row>
  </sheetData>
  <mergeCells count="7">
    <mergeCell ref="H1:H2"/>
    <mergeCell ref="F1:G1"/>
    <mergeCell ref="E1:E2"/>
    <mergeCell ref="D1:D2"/>
    <mergeCell ref="A1:A2"/>
    <mergeCell ref="B1:B2"/>
    <mergeCell ref="C1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0000000}">
          <x14:formula1>
            <xm:f>Справочники!$A$2:$A$16</xm:f>
          </x14:formula1>
          <xm:sqref>C3:C9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workbookViewId="0">
      <selection activeCell="H15" sqref="H15"/>
    </sheetView>
  </sheetViews>
  <sheetFormatPr defaultRowHeight="14.5" x14ac:dyDescent="0.35"/>
  <cols>
    <col min="2" max="2" width="16" customWidth="1"/>
    <col min="4" max="4" width="14.36328125" customWidth="1"/>
    <col min="6" max="6" width="12.6328125" customWidth="1"/>
    <col min="7" max="7" width="14.453125" customWidth="1"/>
    <col min="8" max="8" width="21.453125" customWidth="1"/>
    <col min="9" max="9" width="4.81640625" customWidth="1"/>
  </cols>
  <sheetData>
    <row r="1" spans="1:8" ht="15.5" x14ac:dyDescent="0.35">
      <c r="A1" s="132" t="s">
        <v>297</v>
      </c>
      <c r="B1" s="132" t="s">
        <v>298</v>
      </c>
      <c r="C1" s="132" t="s">
        <v>299</v>
      </c>
      <c r="D1" s="131" t="s">
        <v>289</v>
      </c>
      <c r="E1" s="132" t="s">
        <v>300</v>
      </c>
      <c r="F1" s="134" t="s">
        <v>301</v>
      </c>
      <c r="G1" s="131"/>
      <c r="H1" s="131" t="s">
        <v>304</v>
      </c>
    </row>
    <row r="2" spans="1:8" ht="15.5" x14ac:dyDescent="0.35">
      <c r="A2" s="132"/>
      <c r="B2" s="132"/>
      <c r="C2" s="132"/>
      <c r="D2" s="131"/>
      <c r="E2" s="133"/>
      <c r="F2" s="97" t="s">
        <v>302</v>
      </c>
      <c r="G2" s="101" t="s">
        <v>303</v>
      </c>
      <c r="H2" s="131"/>
    </row>
    <row r="3" spans="1:8" ht="15.5" x14ac:dyDescent="0.35">
      <c r="A3" s="98">
        <v>1</v>
      </c>
      <c r="B3" s="99" t="s">
        <v>305</v>
      </c>
      <c r="C3" s="99">
        <v>104</v>
      </c>
      <c r="D3" s="94" t="str">
        <f t="shared" ref="D3:D9" si="0">VLOOKUP(C3,Комнаты,2,0)</f>
        <v>Люкс</v>
      </c>
      <c r="E3" s="100">
        <v>100</v>
      </c>
      <c r="F3" s="103">
        <f t="shared" ref="F3:F9" si="1">VLOOKUP(D3,Цены,2,0)</f>
        <v>200</v>
      </c>
      <c r="G3" s="102">
        <f t="shared" ref="G3:G9" si="2">F3*Курс_доллара</f>
        <v>20370</v>
      </c>
      <c r="H3" s="144" t="str">
        <f>IF((E3&gt;=0),IF(E3&lt;Дней_мин,G3*E3*(1-Дней_мин_скидка),IF(AND(E3&gt;=Дней_мин,E3&lt;=Дней_макс),G3*E3*(1-Дней_макс_скидка), "Скидки не будет(((ъ")), 0)</f>
        <v>Скидки не будет(((ъ</v>
      </c>
    </row>
    <row r="4" spans="1:8" ht="15.5" x14ac:dyDescent="0.35">
      <c r="A4" s="98">
        <v>2</v>
      </c>
      <c r="B4" s="99" t="s">
        <v>306</v>
      </c>
      <c r="C4" s="99">
        <v>201</v>
      </c>
      <c r="D4" s="94" t="str">
        <f t="shared" si="0"/>
        <v>Двухкомн</v>
      </c>
      <c r="E4" s="100">
        <v>9</v>
      </c>
      <c r="F4" s="103">
        <f t="shared" si="1"/>
        <v>150</v>
      </c>
      <c r="G4" s="102">
        <f t="shared" si="2"/>
        <v>15277.5</v>
      </c>
      <c r="H4" s="144">
        <f>IF((E4&gt;=0),IF(E4&lt;Дней_мин,G4*E4*(1-Дней_мин_скидка),IF(AND(E4&gt;=Дней_мин,E4&lt;=Дней_макс),G4*E4*(1-Дней_макс_скидка), "Скидки не будет(((ъ")), 0)</f>
        <v>123747.75</v>
      </c>
    </row>
    <row r="5" spans="1:8" ht="15.5" x14ac:dyDescent="0.35">
      <c r="A5" s="98">
        <v>3</v>
      </c>
      <c r="B5" s="99" t="s">
        <v>307</v>
      </c>
      <c r="C5" s="99">
        <v>203</v>
      </c>
      <c r="D5" s="94" t="str">
        <f t="shared" si="0"/>
        <v>Люкс</v>
      </c>
      <c r="E5" s="100">
        <v>6</v>
      </c>
      <c r="F5" s="103">
        <f t="shared" si="1"/>
        <v>200</v>
      </c>
      <c r="G5" s="102">
        <f t="shared" si="2"/>
        <v>20370</v>
      </c>
      <c r="H5" s="144">
        <f>IF((E5&gt;=0),IF(E5&lt;Дней_мин,G5*E5*(1-Дней_мин_скидка),IF(AND(E5&gt;=Дней_мин,E5&lt;=Дней_макс),G5*E5*(1-Дней_макс_скидка), "Скидки не будет(((ъ")), 0)</f>
        <v>116109</v>
      </c>
    </row>
    <row r="6" spans="1:8" ht="15.5" x14ac:dyDescent="0.35">
      <c r="A6" s="98">
        <v>4</v>
      </c>
      <c r="B6" s="99" t="s">
        <v>308</v>
      </c>
      <c r="C6" s="99">
        <v>106</v>
      </c>
      <c r="D6" s="94" t="str">
        <f t="shared" si="0"/>
        <v>Двухкомн</v>
      </c>
      <c r="E6" s="100">
        <v>7</v>
      </c>
      <c r="F6" s="103">
        <f t="shared" si="1"/>
        <v>150</v>
      </c>
      <c r="G6" s="102">
        <f t="shared" si="2"/>
        <v>15277.5</v>
      </c>
      <c r="H6" s="144">
        <f>IF((E6&gt;=0),IF(E6&lt;Дней_мин,G6*E6*(1-Дней_мин_скидка),IF(AND(E6&gt;=Дней_мин,E6&lt;=Дней_макс),G6*E6*(1-Дней_макс_скидка), "Скидки не будет(((ъ")), 0)</f>
        <v>101595.375</v>
      </c>
    </row>
    <row r="7" spans="1:8" ht="15.5" x14ac:dyDescent="0.35">
      <c r="A7" s="98">
        <v>5</v>
      </c>
      <c r="B7" s="99" t="s">
        <v>309</v>
      </c>
      <c r="C7" s="99">
        <v>202</v>
      </c>
      <c r="D7" s="94" t="str">
        <f t="shared" si="0"/>
        <v>Люкс</v>
      </c>
      <c r="E7" s="100">
        <v>-5</v>
      </c>
      <c r="F7" s="103">
        <f t="shared" si="1"/>
        <v>200</v>
      </c>
      <c r="G7" s="102">
        <f t="shared" si="2"/>
        <v>20370</v>
      </c>
      <c r="H7" s="144">
        <f>IF((E7&gt;=0),IF(E7&lt;Дней_мин,G7*E7*(1-Дней_мин_скидка),IF(AND(E7&gt;=Дней_мин,E7&lt;=Дней_макс),G7*E7*(1-Дней_макс_скидка), "Скидки не будет(((ъ")), 0)</f>
        <v>0</v>
      </c>
    </row>
    <row r="8" spans="1:8" ht="15.5" x14ac:dyDescent="0.35">
      <c r="A8" s="98">
        <v>6</v>
      </c>
      <c r="B8" s="99" t="s">
        <v>310</v>
      </c>
      <c r="C8" s="99">
        <v>208</v>
      </c>
      <c r="D8" s="94" t="str">
        <f t="shared" si="0"/>
        <v>Однокомн</v>
      </c>
      <c r="E8" s="100">
        <v>18</v>
      </c>
      <c r="F8" s="103">
        <f t="shared" si="1"/>
        <v>110</v>
      </c>
      <c r="G8" s="102">
        <f t="shared" si="2"/>
        <v>11203.5</v>
      </c>
      <c r="H8" s="144" t="str">
        <f>IF((E8&gt;=0),IF(E8&lt;Дней_мин,G8*E8*(1-Дней_мин_скидка),IF(AND(E8&gt;=Дней_мин,E8&lt;=Дней_макс),G8*E8*(1-Дней_макс_скидка), "Скидки не будет(((ъ")), 0)</f>
        <v>Скидки не будет(((ъ</v>
      </c>
    </row>
    <row r="9" spans="1:8" ht="15.5" x14ac:dyDescent="0.35">
      <c r="A9" s="98">
        <v>7</v>
      </c>
      <c r="B9" s="99" t="s">
        <v>311</v>
      </c>
      <c r="C9" s="99">
        <v>205</v>
      </c>
      <c r="D9" s="94" t="str">
        <f t="shared" si="0"/>
        <v>Однокомн</v>
      </c>
      <c r="E9" s="100">
        <v>6</v>
      </c>
      <c r="F9" s="103">
        <f t="shared" si="1"/>
        <v>110</v>
      </c>
      <c r="G9" s="102">
        <f t="shared" si="2"/>
        <v>11203.5</v>
      </c>
      <c r="H9" s="144">
        <f>IF((E9&gt;=0),IF(E9&lt;Дней_мин,G9*E9*(1-Дней_мин_скидка),IF(AND(E9&gt;=Дней_мин,E9&lt;=Дней_макс),G9*E9*(1-Дней_макс_скидка), "Скидки не будет(((ъ")), 0)</f>
        <v>63859.95</v>
      </c>
    </row>
  </sheetData>
  <mergeCells count="7">
    <mergeCell ref="H1:H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0000000}">
          <x14:formula1>
            <xm:f>Справочники!$A$2:$A$16</xm:f>
          </x14:formula1>
          <xm:sqref>C3:C9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14</vt:i4>
      </vt:variant>
    </vt:vector>
  </HeadingPairs>
  <TitlesOfParts>
    <vt:vector size="35" baseType="lpstr">
      <vt:lpstr>Лист1</vt:lpstr>
      <vt:lpstr>Лист2</vt:lpstr>
      <vt:lpstr>Лист3</vt:lpstr>
      <vt:lpstr>Лаб3 1</vt:lpstr>
      <vt:lpstr>Лаб3 2</vt:lpstr>
      <vt:lpstr>Лаб3 3</vt:lpstr>
      <vt:lpstr>Лист5</vt:lpstr>
      <vt:lpstr>Лаб5 2</vt:lpstr>
      <vt:lpstr>Лаб5 3</vt:lpstr>
      <vt:lpstr>Лаб 5 4</vt:lpstr>
      <vt:lpstr>Лаб 5 5</vt:lpstr>
      <vt:lpstr>Лаб 5 Main</vt:lpstr>
      <vt:lpstr>Продажа</vt:lpstr>
      <vt:lpstr>Цена</vt:lpstr>
      <vt:lpstr>ГПР</vt:lpstr>
      <vt:lpstr>Прайс 2019 г.</vt:lpstr>
      <vt:lpstr>Прайс 2020 г.</vt:lpstr>
      <vt:lpstr>Оценки</vt:lpstr>
      <vt:lpstr>Справочники</vt:lpstr>
      <vt:lpstr>Расчёт</vt:lpstr>
      <vt:lpstr>Упражнение 1</vt:lpstr>
      <vt:lpstr>Дней_макс</vt:lpstr>
      <vt:lpstr>Дней_макс_скидка</vt:lpstr>
      <vt:lpstr>Дней_мин</vt:lpstr>
      <vt:lpstr>Дней_мин_скидка</vt:lpstr>
      <vt:lpstr>Дней_не_менее</vt:lpstr>
      <vt:lpstr>'Лаб3 2'!Извлечь</vt:lpstr>
      <vt:lpstr>'Лаб3 3'!Извлечь</vt:lpstr>
      <vt:lpstr>Комнаты</vt:lpstr>
      <vt:lpstr>'Лаб3 2'!Критерии</vt:lpstr>
      <vt:lpstr>'Лаб3 3'!Критерии</vt:lpstr>
      <vt:lpstr>Курс_доллара</vt:lpstr>
      <vt:lpstr>Номера_комнат</vt:lpstr>
      <vt:lpstr>Скидка</vt:lpstr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Tigranyan</dc:creator>
  <cp:lastModifiedBy>Eduard Tigranyan</cp:lastModifiedBy>
  <dcterms:created xsi:type="dcterms:W3CDTF">2024-10-17T06:40:44Z</dcterms:created>
  <dcterms:modified xsi:type="dcterms:W3CDTF">2024-11-21T07:08:45Z</dcterms:modified>
</cp:coreProperties>
</file>