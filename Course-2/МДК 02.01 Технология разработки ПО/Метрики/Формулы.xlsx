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boratory\МДК 02.01 Технология разработки ПО\Метрики\"/>
    </mc:Choice>
  </mc:AlternateContent>
  <xr:revisionPtr revIDLastSave="0" documentId="13_ncr:1_{ED100602-F321-49AB-8A62-78C1E84C0D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G22" i="1"/>
  <c r="C17" i="1"/>
  <c r="C15" i="1"/>
  <c r="C14" i="1"/>
  <c r="C13" i="1"/>
  <c r="C16" i="1" s="1"/>
  <c r="B8" i="2"/>
  <c r="C11" i="1"/>
  <c r="C12" i="1"/>
  <c r="C20" i="1" l="1"/>
  <c r="C18" i="1"/>
  <c r="C19" i="1" s="1"/>
  <c r="C21" i="1"/>
</calcChain>
</file>

<file path=xl/sharedStrings.xml><?xml version="1.0" encoding="utf-8"?>
<sst xmlns="http://schemas.openxmlformats.org/spreadsheetml/2006/main" count="80" uniqueCount="75">
  <si>
    <t>Характеристика</t>
  </si>
  <si>
    <t>Формула</t>
  </si>
  <si>
    <t>Значение</t>
  </si>
  <si>
    <t>V</t>
  </si>
  <si>
    <t>V*</t>
  </si>
  <si>
    <t>V**</t>
  </si>
  <si>
    <t>A</t>
  </si>
  <si>
    <t>L</t>
  </si>
  <si>
    <t>I</t>
  </si>
  <si>
    <t>E</t>
  </si>
  <si>
    <t>Ã</t>
  </si>
  <si>
    <t>Bo</t>
  </si>
  <si>
    <t>n1</t>
  </si>
  <si>
    <t>n2</t>
  </si>
  <si>
    <t>n</t>
  </si>
  <si>
    <t>N1</t>
  </si>
  <si>
    <t>N2</t>
  </si>
  <si>
    <t>n2*</t>
  </si>
  <si>
    <t>N</t>
  </si>
  <si>
    <t>L = V*/V</t>
  </si>
  <si>
    <t>T' = E/S</t>
  </si>
  <si>
    <t>Ã = L∙L∙V</t>
  </si>
  <si>
    <t>N'</t>
  </si>
  <si>
    <t>T'</t>
  </si>
  <si>
    <r>
      <t>N’ = n</t>
    </r>
    <r>
      <rPr>
        <vertAlign val="sub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>∙log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(n</t>
    </r>
    <r>
      <rPr>
        <vertAlign val="subscript"/>
        <sz val="12"/>
        <color theme="1"/>
        <rFont val="Times New Roman"/>
        <family val="1"/>
        <charset val="204"/>
      </rPr>
      <t>1</t>
    </r>
    <r>
      <rPr>
        <sz val="12"/>
        <color theme="1"/>
        <rFont val="Times New Roman"/>
        <family val="1"/>
        <charset val="204"/>
      </rPr>
      <t>) + 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∙log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)</t>
    </r>
  </si>
  <si>
    <r>
      <t>V = N∙log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(n)</t>
    </r>
  </si>
  <si>
    <r>
      <t>V* = (2+ 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*)∙log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(2+ 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*)</t>
    </r>
  </si>
  <si>
    <r>
      <t>V** = (2+ 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*)∙log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*))∙log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(2+ 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*)</t>
    </r>
  </si>
  <si>
    <r>
      <t>A = 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*/(n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 +2)∙log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*/2)</t>
    </r>
  </si>
  <si>
    <r>
      <t>B</t>
    </r>
    <r>
      <rPr>
        <vertAlign val="subscript"/>
        <sz val="12"/>
        <color theme="1"/>
        <rFont val="Times New Roman"/>
        <family val="1"/>
        <charset val="204"/>
      </rPr>
      <t>o</t>
    </r>
    <r>
      <rPr>
        <sz val="12"/>
        <color theme="1"/>
        <rFont val="Times New Roman"/>
        <family val="1"/>
        <charset val="204"/>
      </rPr>
      <t xml:space="preserve"> = V/(V*∙V*∙V*/(A∙A))</t>
    </r>
  </si>
  <si>
    <t>Группа</t>
  </si>
  <si>
    <t>Количество</t>
  </si>
  <si>
    <t>P</t>
  </si>
  <si>
    <t>M</t>
  </si>
  <si>
    <t>C</t>
  </si>
  <si>
    <t>T</t>
  </si>
  <si>
    <t>Результат</t>
  </si>
  <si>
    <t>Q = P + 2M + 3C + 0.5T</t>
  </si>
  <si>
    <t>E = V/L</t>
  </si>
  <si>
    <t>I = 2∙n2 /(n1 ∙N2 ) ∙N∙log 2 (n).</t>
  </si>
  <si>
    <t>Оператор</t>
  </si>
  <si>
    <t>Номер</t>
  </si>
  <si>
    <t>Число вхождений</t>
  </si>
  <si>
    <t>cout</t>
  </si>
  <si>
    <t>cin</t>
  </si>
  <si>
    <t>endl</t>
  </si>
  <si>
    <t>&gt;=</t>
  </si>
  <si>
    <t>&amp;&amp;</t>
  </si>
  <si>
    <t>+</t>
  </si>
  <si>
    <t>&lt;=</t>
  </si>
  <si>
    <t>||</t>
  </si>
  <si>
    <t>;</t>
  </si>
  <si>
    <t>{}</t>
  </si>
  <si>
    <t>()</t>
  </si>
  <si>
    <t>&lt;&lt; </t>
  </si>
  <si>
    <t>“”</t>
  </si>
  <si>
    <t>-</t>
  </si>
  <si>
    <t>if</t>
  </si>
  <si>
    <t>else</t>
  </si>
  <si>
    <t>&gt;&gt; </t>
  </si>
  <si>
    <t>using namespace</t>
  </si>
  <si>
    <t>#include</t>
  </si>
  <si>
    <t>Операнд</t>
  </si>
  <si>
    <t>"Введите Кординаты точки"</t>
  </si>
  <si>
    <t>"Ввод x: "</t>
  </si>
  <si>
    <t>"Ввод y: "</t>
  </si>
  <si>
    <t>X</t>
  </si>
  <si>
    <t>Y</t>
  </si>
  <si>
    <t>"Точка принадлежит фигуре"</t>
  </si>
  <si>
    <t>"Точка не принадлежит фигуре"</t>
  </si>
  <si>
    <t>LC_ALL</t>
  </si>
  <si>
    <t>"ru"</t>
  </si>
  <si>
    <t>std</t>
  </si>
  <si>
    <t>&lt;iostream&gt;</t>
  </si>
  <si>
    <t>&lt;cmath&gt;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</si>
</sst>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color rgb="FF000000"/>
      <name val="Cascadia Mono"/>
      <family val="3"/>
      <charset val="204"/>
    </font>
    <font>
      <sz val="9.5"/>
      <color rgb="FFA31515"/>
      <name val="Cascadia Mono"/>
      <family val="3"/>
      <charset val="204"/>
    </font>
    <font>
      <sz val="9.5"/>
      <color rgb="FF0000FF"/>
      <name val="Cascadia Mono"/>
      <family val="3"/>
      <charset val="204"/>
    </font>
    <font>
      <sz val="9.5"/>
      <color rgb="FF000000"/>
      <name val="Cascadia Mono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0" fontId="1" fillId="2" borderId="0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106" workbookViewId="0">
      <selection activeCell="C26" sqref="C26"/>
    </sheetView>
  </sheetViews>
  <sheetFormatPr defaultRowHeight="15.5" x14ac:dyDescent="0.35"/>
  <cols>
    <col min="1" max="1" width="43.36328125" style="2" customWidth="1"/>
    <col min="2" max="2" width="47.54296875" style="2" customWidth="1"/>
    <col min="3" max="3" width="40.54296875" style="2" customWidth="1"/>
    <col min="4" max="4" width="30.08984375" style="2" customWidth="1"/>
    <col min="5" max="5" width="42.36328125" style="2" customWidth="1"/>
    <col min="6" max="6" width="36" style="2" customWidth="1"/>
    <col min="7" max="7" width="23.54296875" style="2" customWidth="1"/>
    <col min="8" max="11" width="8.7265625" style="2"/>
    <col min="12" max="12" width="24.90625" style="2" customWidth="1"/>
    <col min="13" max="13" width="23.453125" style="2" customWidth="1"/>
    <col min="14" max="14" width="23.7265625" style="2" customWidth="1"/>
    <col min="15" max="15" width="8.7265625" style="2"/>
    <col min="16" max="16" width="31.6328125" style="2" customWidth="1"/>
    <col min="17" max="17" width="23.1796875" style="2" customWidth="1"/>
    <col min="18" max="18" width="21.6328125" style="2" customWidth="1"/>
    <col min="19" max="16384" width="8.7265625" style="2"/>
  </cols>
  <sheetData>
    <row r="1" spans="1:11" ht="15.5" customHeight="1" thickBot="1" x14ac:dyDescent="0.4">
      <c r="A1" s="1" t="s">
        <v>0</v>
      </c>
      <c r="B1" s="1" t="s">
        <v>2</v>
      </c>
      <c r="C1" s="1"/>
      <c r="E1"/>
      <c r="F1"/>
      <c r="G1"/>
      <c r="H1"/>
    </row>
    <row r="2" spans="1:11" ht="15.5" customHeight="1" thickBot="1" x14ac:dyDescent="0.4">
      <c r="A2" s="1" t="s">
        <v>12</v>
      </c>
      <c r="B2" s="1">
        <v>21</v>
      </c>
      <c r="C2" s="1"/>
      <c r="E2" s="3" t="s">
        <v>40</v>
      </c>
      <c r="F2" s="4" t="s">
        <v>41</v>
      </c>
      <c r="G2" s="4" t="s">
        <v>42</v>
      </c>
      <c r="I2" s="3" t="s">
        <v>62</v>
      </c>
      <c r="J2" s="4" t="s">
        <v>41</v>
      </c>
      <c r="K2" s="4" t="s">
        <v>42</v>
      </c>
    </row>
    <row r="3" spans="1:11" ht="15.5" customHeight="1" thickBot="1" x14ac:dyDescent="0.4">
      <c r="A3" s="1" t="s">
        <v>13</v>
      </c>
      <c r="B3" s="1">
        <v>17</v>
      </c>
      <c r="C3" s="1"/>
      <c r="E3" s="5" t="s">
        <v>43</v>
      </c>
      <c r="F3" s="6">
        <v>1</v>
      </c>
      <c r="G3" s="6">
        <v>5</v>
      </c>
      <c r="I3" s="7" t="s">
        <v>63</v>
      </c>
      <c r="J3" s="6">
        <v>1</v>
      </c>
      <c r="K3" s="6">
        <v>1</v>
      </c>
    </row>
    <row r="4" spans="1:11" ht="15.5" customHeight="1" thickBot="1" x14ac:dyDescent="0.4">
      <c r="A4" s="1" t="s">
        <v>14</v>
      </c>
      <c r="B4" s="1">
        <v>31</v>
      </c>
      <c r="C4" s="1"/>
      <c r="E4" s="5" t="s">
        <v>44</v>
      </c>
      <c r="F4" s="6">
        <v>2</v>
      </c>
      <c r="G4" s="6">
        <v>2</v>
      </c>
      <c r="I4" s="7" t="s">
        <v>64</v>
      </c>
      <c r="J4" s="6">
        <v>2</v>
      </c>
      <c r="K4" s="6">
        <v>1</v>
      </c>
    </row>
    <row r="5" spans="1:11" ht="15.5" customHeight="1" thickBot="1" x14ac:dyDescent="0.4">
      <c r="A5" s="1" t="s">
        <v>15</v>
      </c>
      <c r="B5" s="1">
        <v>70</v>
      </c>
      <c r="C5" s="1"/>
      <c r="E5" s="5" t="s">
        <v>45</v>
      </c>
      <c r="F5" s="6">
        <v>3</v>
      </c>
      <c r="G5" s="6">
        <v>3</v>
      </c>
      <c r="I5" s="8" t="s">
        <v>65</v>
      </c>
      <c r="J5" s="6">
        <v>3</v>
      </c>
      <c r="K5" s="6">
        <v>1</v>
      </c>
    </row>
    <row r="6" spans="1:11" ht="15.5" customHeight="1" thickBot="1" x14ac:dyDescent="0.4">
      <c r="A6" s="1" t="s">
        <v>16</v>
      </c>
      <c r="B6" s="1">
        <v>32</v>
      </c>
      <c r="C6" s="1"/>
      <c r="E6" s="5" t="s">
        <v>46</v>
      </c>
      <c r="F6" s="6">
        <v>4</v>
      </c>
      <c r="G6" s="6">
        <v>3</v>
      </c>
      <c r="I6" s="5" t="s">
        <v>66</v>
      </c>
      <c r="J6" s="6">
        <v>4</v>
      </c>
      <c r="K6" s="6">
        <v>5</v>
      </c>
    </row>
    <row r="7" spans="1:11" ht="15.5" customHeight="1" thickBot="1" x14ac:dyDescent="0.4">
      <c r="A7" s="1" t="s">
        <v>17</v>
      </c>
      <c r="B7" s="1">
        <v>7</v>
      </c>
      <c r="C7" s="1"/>
      <c r="E7" s="5" t="s">
        <v>47</v>
      </c>
      <c r="F7" s="6">
        <v>5</v>
      </c>
      <c r="G7" s="6">
        <v>4</v>
      </c>
      <c r="I7" s="5" t="s">
        <v>67</v>
      </c>
      <c r="J7" s="6">
        <v>5</v>
      </c>
      <c r="K7" s="6">
        <v>8</v>
      </c>
    </row>
    <row r="8" spans="1:11" ht="15.5" customHeight="1" thickBot="1" x14ac:dyDescent="0.4">
      <c r="A8" s="1" t="s">
        <v>18</v>
      </c>
      <c r="B8" s="1">
        <v>65</v>
      </c>
      <c r="C8" s="1"/>
      <c r="E8" s="5" t="s">
        <v>48</v>
      </c>
      <c r="F8" s="6">
        <v>6</v>
      </c>
      <c r="G8" s="6">
        <v>3</v>
      </c>
      <c r="I8" s="7" t="s">
        <v>68</v>
      </c>
      <c r="J8" s="6">
        <v>6</v>
      </c>
      <c r="K8" s="6">
        <v>1</v>
      </c>
    </row>
    <row r="9" spans="1:11" ht="15.5" customHeight="1" thickBot="1" x14ac:dyDescent="0.4">
      <c r="A9" s="1"/>
      <c r="B9" s="1"/>
      <c r="C9" s="1"/>
      <c r="E9" s="5" t="s">
        <v>49</v>
      </c>
      <c r="F9" s="6">
        <v>7</v>
      </c>
      <c r="G9" s="6">
        <v>3</v>
      </c>
      <c r="I9" s="8" t="s">
        <v>69</v>
      </c>
      <c r="J9" s="6">
        <v>7</v>
      </c>
      <c r="K9" s="6">
        <v>1</v>
      </c>
    </row>
    <row r="10" spans="1:11" ht="15.5" customHeight="1" thickBot="1" x14ac:dyDescent="0.4">
      <c r="A10" s="1" t="s">
        <v>0</v>
      </c>
      <c r="B10" s="1" t="s">
        <v>1</v>
      </c>
      <c r="C10" s="1" t="s">
        <v>2</v>
      </c>
      <c r="E10" s="5" t="s">
        <v>50</v>
      </c>
      <c r="F10" s="6">
        <v>8</v>
      </c>
      <c r="G10" s="6">
        <v>2</v>
      </c>
      <c r="I10" s="5">
        <v>3</v>
      </c>
      <c r="J10" s="6">
        <v>8</v>
      </c>
      <c r="K10" s="6">
        <v>4</v>
      </c>
    </row>
    <row r="11" spans="1:11" ht="15.5" customHeight="1" thickBot="1" x14ac:dyDescent="0.4">
      <c r="A11" s="1" t="s">
        <v>22</v>
      </c>
      <c r="B11" s="9" t="s">
        <v>24</v>
      </c>
      <c r="C11" s="1">
        <f>B2*LOG(B2,2)+B3*LOG(B3,2)</f>
        <v>161.72553417960975</v>
      </c>
      <c r="E11" s="5" t="s">
        <v>51</v>
      </c>
      <c r="F11" s="6">
        <v>9</v>
      </c>
      <c r="G11" s="6">
        <v>10</v>
      </c>
      <c r="I11" s="5">
        <v>2</v>
      </c>
      <c r="J11" s="6">
        <v>9</v>
      </c>
      <c r="K11" s="6">
        <v>1</v>
      </c>
    </row>
    <row r="12" spans="1:11" ht="15.5" customHeight="1" thickBot="1" x14ac:dyDescent="0.4">
      <c r="A12" s="1" t="s">
        <v>3</v>
      </c>
      <c r="B12" s="9" t="s">
        <v>25</v>
      </c>
      <c r="C12" s="1">
        <f>B8*LOG(B4,2)</f>
        <v>322.02276017514691</v>
      </c>
      <c r="E12" s="5" t="s">
        <v>52</v>
      </c>
      <c r="F12" s="6">
        <v>10</v>
      </c>
      <c r="G12" s="6">
        <v>3</v>
      </c>
      <c r="I12" s="5">
        <v>5</v>
      </c>
      <c r="J12" s="6">
        <v>10</v>
      </c>
      <c r="K12" s="6">
        <v>2</v>
      </c>
    </row>
    <row r="13" spans="1:11" ht="15.5" customHeight="1" thickBot="1" x14ac:dyDescent="0.4">
      <c r="A13" s="1" t="s">
        <v>4</v>
      </c>
      <c r="B13" s="9" t="s">
        <v>26</v>
      </c>
      <c r="C13" s="1">
        <f>(2+B7)*LOG(2+B7,2)</f>
        <v>28.529325012980813</v>
      </c>
      <c r="E13" s="5" t="s">
        <v>53</v>
      </c>
      <c r="F13" s="6">
        <v>11</v>
      </c>
      <c r="G13" s="6">
        <v>9</v>
      </c>
      <c r="I13" s="5">
        <v>1</v>
      </c>
      <c r="J13" s="6">
        <v>11</v>
      </c>
      <c r="K13" s="6">
        <v>1</v>
      </c>
    </row>
    <row r="14" spans="1:11" ht="15.5" customHeight="1" thickBot="1" x14ac:dyDescent="0.4">
      <c r="A14" s="1" t="s">
        <v>5</v>
      </c>
      <c r="B14" s="9" t="s">
        <v>27</v>
      </c>
      <c r="C14" s="1">
        <f>(2+B7*LOG(B7,2))*LOG(2+B7,2)</f>
        <v>68.63358189035236</v>
      </c>
      <c r="E14" s="5" t="s">
        <v>54</v>
      </c>
      <c r="F14" s="6">
        <v>12</v>
      </c>
      <c r="G14" s="6">
        <v>5</v>
      </c>
      <c r="I14" s="5">
        <v>0</v>
      </c>
      <c r="J14" s="6">
        <v>12</v>
      </c>
      <c r="K14" s="6">
        <v>1</v>
      </c>
    </row>
    <row r="15" spans="1:11" ht="15.5" customHeight="1" thickBot="1" x14ac:dyDescent="0.4">
      <c r="A15" s="1" t="s">
        <v>6</v>
      </c>
      <c r="B15" s="9" t="s">
        <v>28</v>
      </c>
      <c r="C15" s="10">
        <f>B7/(B7+2)*LOG(B7/2,2)</f>
        <v>1.4057204949336921</v>
      </c>
      <c r="E15" s="5" t="s">
        <v>55</v>
      </c>
      <c r="F15" s="6">
        <v>13</v>
      </c>
      <c r="G15" s="6">
        <v>5</v>
      </c>
      <c r="I15" s="8" t="s">
        <v>70</v>
      </c>
      <c r="J15" s="6">
        <v>13</v>
      </c>
      <c r="K15" s="6">
        <v>1</v>
      </c>
    </row>
    <row r="16" spans="1:11" ht="15.5" customHeight="1" thickBot="1" x14ac:dyDescent="0.4">
      <c r="A16" s="1" t="s">
        <v>7</v>
      </c>
      <c r="B16" s="9" t="s">
        <v>19</v>
      </c>
      <c r="C16" s="1">
        <f>C13/C12</f>
        <v>8.8594126071908169E-2</v>
      </c>
      <c r="E16" s="5" t="s">
        <v>56</v>
      </c>
      <c r="F16" s="6">
        <v>14</v>
      </c>
      <c r="G16" s="6">
        <v>2</v>
      </c>
      <c r="I16" s="7" t="s">
        <v>71</v>
      </c>
      <c r="J16" s="6">
        <v>14</v>
      </c>
      <c r="K16" s="6">
        <v>1</v>
      </c>
    </row>
    <row r="17" spans="1:11" ht="15.5" customHeight="1" thickBot="1" x14ac:dyDescent="0.4">
      <c r="A17" s="1" t="s">
        <v>8</v>
      </c>
      <c r="B17" s="9" t="s">
        <v>39</v>
      </c>
      <c r="C17" s="1">
        <f>2*B3/(B2*B6)*B8*LOG(B4,2)</f>
        <v>16.292818223147314</v>
      </c>
      <c r="E17" s="5" t="s">
        <v>57</v>
      </c>
      <c r="F17" s="6">
        <v>15</v>
      </c>
      <c r="G17" s="6">
        <v>1</v>
      </c>
      <c r="I17" s="11" t="s">
        <v>72</v>
      </c>
      <c r="J17" s="6">
        <v>15</v>
      </c>
      <c r="K17" s="6">
        <v>1</v>
      </c>
    </row>
    <row r="18" spans="1:11" ht="15.5" customHeight="1" thickBot="1" x14ac:dyDescent="0.4">
      <c r="A18" s="1" t="s">
        <v>9</v>
      </c>
      <c r="B18" s="9" t="s">
        <v>38</v>
      </c>
      <c r="C18" s="1">
        <f>C12/C16</f>
        <v>3634.8093767951887</v>
      </c>
      <c r="E18" s="5" t="s">
        <v>58</v>
      </c>
      <c r="F18" s="6">
        <v>16</v>
      </c>
      <c r="G18" s="6">
        <v>1</v>
      </c>
      <c r="I18" s="8" t="s">
        <v>73</v>
      </c>
      <c r="J18" s="6">
        <v>16</v>
      </c>
      <c r="K18" s="6">
        <v>1</v>
      </c>
    </row>
    <row r="19" spans="1:11" ht="15.5" customHeight="1" thickBot="1" x14ac:dyDescent="0.4">
      <c r="A19" s="1" t="s">
        <v>23</v>
      </c>
      <c r="B19" s="9" t="s">
        <v>20</v>
      </c>
      <c r="C19" s="1">
        <f>C18/18</f>
        <v>201.93385426639938</v>
      </c>
      <c r="E19" s="5" t="s">
        <v>59</v>
      </c>
      <c r="F19" s="6">
        <v>17</v>
      </c>
      <c r="G19" s="6">
        <v>2</v>
      </c>
      <c r="I19" s="7" t="s">
        <v>74</v>
      </c>
      <c r="J19" s="6">
        <v>17</v>
      </c>
      <c r="K19" s="6">
        <v>1</v>
      </c>
    </row>
    <row r="20" spans="1:11" ht="15.5" customHeight="1" thickBot="1" x14ac:dyDescent="0.4">
      <c r="A20" s="1" t="s">
        <v>10</v>
      </c>
      <c r="B20" s="9" t="s">
        <v>21</v>
      </c>
      <c r="C20" s="1">
        <f>C16*C16*C12</f>
        <v>2.5275306169464655</v>
      </c>
      <c r="E20" s="5" t="s">
        <v>60</v>
      </c>
      <c r="F20" s="6">
        <v>18</v>
      </c>
      <c r="G20" s="6">
        <v>1</v>
      </c>
      <c r="I20" s="7"/>
      <c r="J20" s="6">
        <v>17</v>
      </c>
      <c r="K20" s="6">
        <f>SUM(K3:K19)</f>
        <v>32</v>
      </c>
    </row>
    <row r="21" spans="1:11" ht="15.5" customHeight="1" thickBot="1" x14ac:dyDescent="0.4">
      <c r="A21" s="1" t="s">
        <v>11</v>
      </c>
      <c r="B21" s="9" t="s">
        <v>29</v>
      </c>
      <c r="C21" s="1">
        <f>C13/(C13*C13*C13/(C15*C15))</f>
        <v>2.4278114776093269E-3</v>
      </c>
      <c r="E21" s="5" t="s">
        <v>61</v>
      </c>
      <c r="F21" s="6">
        <v>19</v>
      </c>
      <c r="G21" s="6">
        <v>2</v>
      </c>
    </row>
    <row r="22" spans="1:11" ht="15.5" customHeight="1" thickBot="1" x14ac:dyDescent="0.4">
      <c r="A22" s="1"/>
      <c r="B22" s="1"/>
      <c r="C22" s="1"/>
      <c r="E22" s="5"/>
      <c r="F22" s="6">
        <v>19</v>
      </c>
      <c r="G22" s="6">
        <f>SUM(G3:G21)</f>
        <v>66</v>
      </c>
    </row>
    <row r="23" spans="1:11" ht="15.5" customHeight="1" x14ac:dyDescent="0.35">
      <c r="A23" s="1"/>
      <c r="B23" s="1"/>
      <c r="C23" s="1"/>
      <c r="E23"/>
      <c r="F23"/>
      <c r="G23"/>
      <c r="H23"/>
    </row>
    <row r="24" spans="1:11" ht="15.5" customHeight="1" x14ac:dyDescent="0.35">
      <c r="A24" s="12"/>
      <c r="B24" s="12"/>
      <c r="C24" s="12"/>
    </row>
    <row r="25" spans="1:11" ht="15.5" customHeight="1" x14ac:dyDescent="0.35">
      <c r="A25"/>
      <c r="B25"/>
      <c r="C25"/>
    </row>
    <row r="26" spans="1:11" ht="15.5" customHeight="1" x14ac:dyDescent="0.35">
      <c r="A26"/>
      <c r="B26"/>
      <c r="C26"/>
    </row>
    <row r="27" spans="1:11" ht="15.5" customHeight="1" x14ac:dyDescent="0.35">
      <c r="A27"/>
      <c r="B27"/>
      <c r="C27"/>
    </row>
    <row r="28" spans="1:11" ht="15.5" customHeight="1" x14ac:dyDescent="0.35">
      <c r="A28"/>
      <c r="B28"/>
      <c r="C28"/>
    </row>
    <row r="29" spans="1:11" x14ac:dyDescent="0.35">
      <c r="A29"/>
      <c r="B29"/>
      <c r="C29"/>
    </row>
    <row r="30" spans="1:11" x14ac:dyDescent="0.35">
      <c r="A30"/>
      <c r="B30"/>
      <c r="C30"/>
    </row>
    <row r="31" spans="1:11" x14ac:dyDescent="0.35">
      <c r="A31"/>
      <c r="B31"/>
      <c r="C31"/>
    </row>
    <row r="32" spans="1:11" x14ac:dyDescent="0.35">
      <c r="A32"/>
      <c r="B32"/>
      <c r="C32"/>
    </row>
    <row r="33" spans="1:3" x14ac:dyDescent="0.35">
      <c r="A33"/>
      <c r="B33"/>
      <c r="C33"/>
    </row>
    <row r="34" spans="1:3" x14ac:dyDescent="0.35">
      <c r="A34"/>
      <c r="B34"/>
      <c r="C34"/>
    </row>
    <row r="35" spans="1:3" x14ac:dyDescent="0.35">
      <c r="A35"/>
      <c r="B35"/>
      <c r="C35"/>
    </row>
    <row r="36" spans="1:3" x14ac:dyDescent="0.35">
      <c r="A36"/>
      <c r="B36"/>
      <c r="C36"/>
    </row>
    <row r="37" spans="1:3" x14ac:dyDescent="0.35">
      <c r="A37"/>
      <c r="B37"/>
      <c r="C37"/>
    </row>
    <row r="38" spans="1:3" x14ac:dyDescent="0.35">
      <c r="A38"/>
      <c r="B38"/>
      <c r="C38"/>
    </row>
    <row r="39" spans="1:3" x14ac:dyDescent="0.35">
      <c r="A39"/>
      <c r="B39"/>
      <c r="C39"/>
    </row>
    <row r="40" spans="1:3" x14ac:dyDescent="0.35">
      <c r="A40"/>
      <c r="B40"/>
      <c r="C40"/>
    </row>
    <row r="41" spans="1:3" x14ac:dyDescent="0.35">
      <c r="A41"/>
      <c r="B41"/>
      <c r="C41"/>
    </row>
    <row r="42" spans="1:3" x14ac:dyDescent="0.35">
      <c r="A42"/>
      <c r="B42"/>
      <c r="C42"/>
    </row>
    <row r="43" spans="1:3" x14ac:dyDescent="0.35">
      <c r="A43"/>
      <c r="B43"/>
      <c r="C43"/>
    </row>
    <row r="44" spans="1:3" x14ac:dyDescent="0.35">
      <c r="A44"/>
      <c r="B44"/>
      <c r="C44"/>
    </row>
    <row r="45" spans="1:3" x14ac:dyDescent="0.35">
      <c r="A45"/>
      <c r="B45"/>
      <c r="C45"/>
    </row>
    <row r="46" spans="1:3" x14ac:dyDescent="0.35">
      <c r="A46"/>
      <c r="B46"/>
      <c r="C46"/>
    </row>
    <row r="47" spans="1:3" x14ac:dyDescent="0.35">
      <c r="A47"/>
      <c r="B47"/>
      <c r="C47"/>
    </row>
  </sheetData>
  <mergeCells count="1">
    <mergeCell ref="A24:C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143A-775A-47B5-B985-212268661079}">
  <dimension ref="A1:B8"/>
  <sheetViews>
    <sheetView workbookViewId="0">
      <selection activeCell="C14" sqref="C14"/>
    </sheetView>
  </sheetViews>
  <sheetFormatPr defaultRowHeight="14.5" x14ac:dyDescent="0.35"/>
  <cols>
    <col min="1" max="2" width="20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>
        <v>2</v>
      </c>
    </row>
    <row r="3" spans="1:2" x14ac:dyDescent="0.35">
      <c r="A3" t="s">
        <v>33</v>
      </c>
      <c r="B3">
        <v>0</v>
      </c>
    </row>
    <row r="4" spans="1:2" x14ac:dyDescent="0.35">
      <c r="A4" t="s">
        <v>34</v>
      </c>
      <c r="B4">
        <v>2</v>
      </c>
    </row>
    <row r="5" spans="1:2" x14ac:dyDescent="0.35">
      <c r="A5" t="s">
        <v>35</v>
      </c>
      <c r="B5">
        <v>0</v>
      </c>
    </row>
    <row r="7" spans="1:2" x14ac:dyDescent="0.35">
      <c r="A7" t="s">
        <v>1</v>
      </c>
      <c r="B7" t="s">
        <v>36</v>
      </c>
    </row>
    <row r="8" spans="1:2" x14ac:dyDescent="0.35">
      <c r="A8" t="s">
        <v>37</v>
      </c>
      <c r="B8">
        <f>B2+2*B3+3*B4+0.5*B5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Tigranyan</dc:creator>
  <cp:lastModifiedBy>Eduard Tigranyan</cp:lastModifiedBy>
  <dcterms:created xsi:type="dcterms:W3CDTF">2015-06-05T18:17:20Z</dcterms:created>
  <dcterms:modified xsi:type="dcterms:W3CDTF">2025-04-24T07:41:10Z</dcterms:modified>
</cp:coreProperties>
</file>