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Secret\Backup\Laboratoryf\3 Курс\МДК 02.03\"/>
    </mc:Choice>
  </mc:AlternateContent>
  <xr:revisionPtr revIDLastSave="0" documentId="13_ncr:1_{4B53BFBF-5813-4D9F-A990-CCDDE87D4D1E}" xr6:coauthVersionLast="47" xr6:coauthVersionMax="47" xr10:uidLastSave="{00000000-0000-0000-0000-000000000000}"/>
  <bookViews>
    <workbookView xWindow="3460" yWindow="2070" windowWidth="19200" windowHeight="11170" xr2:uid="{00000000-000D-0000-FFFF-FFFF00000000}"/>
  </bookViews>
  <sheets>
    <sheet name="Лист1" sheetId="1" r:id="rId1"/>
  </sheets>
  <definedNames>
    <definedName name="solver_adj" localSheetId="0" hidden="1">Лист1!$D$18:$E$18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Лист1!$D$18</definedName>
    <definedName name="solver_lhs2" localSheetId="0" hidden="1">Лист1!$E$18</definedName>
    <definedName name="solver_lhs3" localSheetId="0" hidden="1">Лист1!$F$21</definedName>
    <definedName name="solver_lhs4" localSheetId="0" hidden="1">Лист1!$F$22</definedName>
    <definedName name="solver_lhs5" localSheetId="0" hidden="1">Лист1!$F$23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5</definedName>
    <definedName name="solver_nwt" localSheetId="0" hidden="1">1</definedName>
    <definedName name="solver_opt" localSheetId="0" hidden="1">Лист1!$G$18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1</definedName>
    <definedName name="solver_rhs1" localSheetId="0" hidden="1">0</definedName>
    <definedName name="solver_rhs2" localSheetId="0" hidden="1">0</definedName>
    <definedName name="solver_rhs3" localSheetId="0" hidden="1">Лист1!$G$21</definedName>
    <definedName name="solver_rhs4" localSheetId="0" hidden="1">Лист1!$G$22</definedName>
    <definedName name="solver_rhs5" localSheetId="0" hidden="1">Лист1!$G$23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8" i="1" l="1"/>
  <c r="T18" i="1"/>
  <c r="T29" i="1" s="1"/>
  <c r="U11" i="1"/>
  <c r="O31" i="1"/>
  <c r="Q31" i="1"/>
  <c r="R31" i="1"/>
  <c r="S31" i="1"/>
  <c r="P31" i="1"/>
  <c r="S30" i="1"/>
  <c r="Q30" i="1"/>
  <c r="G18" i="1"/>
  <c r="F23" i="1"/>
  <c r="F22" i="1"/>
  <c r="F21" i="1"/>
  <c r="T13" i="1"/>
  <c r="T20" i="1"/>
  <c r="T31" i="1" s="1"/>
  <c r="S21" i="1"/>
  <c r="U12" i="1"/>
  <c r="U10" i="1"/>
  <c r="T19" i="1"/>
  <c r="T30" i="1" s="1"/>
  <c r="Q19" i="1"/>
  <c r="R19" i="1"/>
  <c r="S19" i="1"/>
  <c r="P19" i="1"/>
  <c r="O30" i="1" s="1"/>
  <c r="U18" i="1"/>
  <c r="Q18" i="1"/>
  <c r="Q29" i="1" s="1"/>
  <c r="R18" i="1"/>
  <c r="S18" i="1"/>
  <c r="S20" i="1"/>
  <c r="Q20" i="1"/>
  <c r="P20" i="1"/>
  <c r="R20" i="1"/>
  <c r="P13" i="1"/>
  <c r="Q13" i="1"/>
  <c r="R13" i="1"/>
  <c r="S13" i="1"/>
  <c r="O13" i="1"/>
  <c r="U13" i="1" s="1"/>
  <c r="T21" i="1" l="1"/>
  <c r="T32" i="1" s="1"/>
  <c r="U19" i="1"/>
  <c r="R30" i="1"/>
  <c r="S29" i="1"/>
  <c r="R29" i="1"/>
  <c r="O29" i="1"/>
  <c r="U20" i="1"/>
  <c r="R21" i="1"/>
  <c r="Q21" i="1"/>
  <c r="Q32" i="1" s="1"/>
  <c r="P21" i="1"/>
  <c r="O32" i="1" s="1"/>
  <c r="R32" i="1" l="1"/>
  <c r="S32" i="1"/>
</calcChain>
</file>

<file path=xl/sharedStrings.xml><?xml version="1.0" encoding="utf-8"?>
<sst xmlns="http://schemas.openxmlformats.org/spreadsheetml/2006/main" count="66" uniqueCount="36">
  <si>
    <t>Виды сырья</t>
  </si>
  <si>
    <t>Запасы сырья</t>
  </si>
  <si>
    <t>Виды продукции</t>
  </si>
  <si>
    <t>П1</t>
  </si>
  <si>
    <t>П2</t>
  </si>
  <si>
    <t>С1</t>
  </si>
  <si>
    <t>С2</t>
  </si>
  <si>
    <t>С3</t>
  </si>
  <si>
    <t>Прибыль от реализации ед. продукции</t>
  </si>
  <si>
    <t>Д1</t>
  </si>
  <si>
    <t>Д2</t>
  </si>
  <si>
    <t>a1</t>
  </si>
  <si>
    <t>2a1+6a2 &lt;=14</t>
  </si>
  <si>
    <t>5a1+2a2 &lt;=14</t>
  </si>
  <si>
    <t>5a1+6a2 &lt;= 20</t>
  </si>
  <si>
    <t>a1&gt;= 0; a2 &gt;=0</t>
  </si>
  <si>
    <t>"=&gt;"</t>
  </si>
  <si>
    <t>2a1 + 6a2 + a3 = 14</t>
  </si>
  <si>
    <t>5a1 + 2a2 + a4 = 14</t>
  </si>
  <si>
    <t>20a1+14a2 -&gt; max</t>
  </si>
  <si>
    <t>a2</t>
  </si>
  <si>
    <t>a3</t>
  </si>
  <si>
    <t>a4</t>
  </si>
  <si>
    <t>a5</t>
  </si>
  <si>
    <t>БП</t>
  </si>
  <si>
    <t>F</t>
  </si>
  <si>
    <t>J</t>
  </si>
  <si>
    <t>5a1 + 6a2 + a5 = 20</t>
  </si>
  <si>
    <t>aij = aij - (apj * aiq)/apq</t>
  </si>
  <si>
    <t>J = (aij *ci) - fj</t>
  </si>
  <si>
    <t>Рано</t>
  </si>
  <si>
    <t>Количество</t>
  </si>
  <si>
    <t>Доход</t>
  </si>
  <si>
    <t>Ограничения</t>
  </si>
  <si>
    <t>Расход</t>
  </si>
  <si>
    <t>Запас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</si>
</sst>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  <font>
      <sz val="13.95"/>
      <color rgb="FF000000"/>
      <name val="Arial"/>
      <family val="2"/>
      <charset val="204"/>
    </font>
    <font>
      <sz val="11"/>
      <color theme="1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93C47D"/>
        <bgColor indexed="64"/>
      </patternFill>
    </fill>
    <fill>
      <patternFill patternType="solid">
        <fgColor rgb="FFE6B8A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1" fillId="7" borderId="17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2" fontId="1" fillId="0" borderId="4" xfId="0" applyNumberFormat="1" applyFont="1" applyFill="1" applyBorder="1" applyAlignment="1">
      <alignment horizontal="center" vertical="center" wrapText="1"/>
    </xf>
    <xf numFmtId="2" fontId="1" fillId="0" borderId="9" xfId="0" applyNumberFormat="1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18" xfId="0" applyBorder="1"/>
    <xf numFmtId="0" fontId="0" fillId="0" borderId="17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3" fillId="6" borderId="9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right" vertical="center" wrapText="1"/>
    </xf>
    <xf numFmtId="0" fontId="1" fillId="0" borderId="16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27</xdr:row>
      <xdr:rowOff>0</xdr:rowOff>
    </xdr:from>
    <xdr:to>
      <xdr:col>10</xdr:col>
      <xdr:colOff>18104</xdr:colOff>
      <xdr:row>62</xdr:row>
      <xdr:rowOff>899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EF553A-47FF-4953-9DD8-61C71D8D6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39240" y="5250180"/>
          <a:ext cx="6868484" cy="6439799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33</xdr:row>
      <xdr:rowOff>0</xdr:rowOff>
    </xdr:from>
    <xdr:to>
      <xdr:col>26</xdr:col>
      <xdr:colOff>242383</xdr:colOff>
      <xdr:row>52</xdr:row>
      <xdr:rowOff>50800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CCF26BD-17BF-4795-B6A9-7373B1C2F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03467" y="6333067"/>
          <a:ext cx="7896249" cy="358986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54</xdr:row>
      <xdr:rowOff>1</xdr:rowOff>
    </xdr:from>
    <xdr:to>
      <xdr:col>26</xdr:col>
      <xdr:colOff>213360</xdr:colOff>
      <xdr:row>71</xdr:row>
      <xdr:rowOff>4843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A990CB63-59B0-4584-AF8F-1918F4BB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20400" y="10088881"/>
          <a:ext cx="7863840" cy="31138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X32"/>
  <sheetViews>
    <sheetView tabSelected="1" topLeftCell="I38" zoomScale="84" workbookViewId="0">
      <selection activeCell="T29" sqref="T29"/>
    </sheetView>
  </sheetViews>
  <sheetFormatPr defaultRowHeight="14.5" x14ac:dyDescent="0.35"/>
  <cols>
    <col min="1" max="1" width="11.1796875" bestFit="1" customWidth="1"/>
    <col min="2" max="2" width="11.1796875" customWidth="1"/>
    <col min="3" max="3" width="18.54296875" customWidth="1"/>
    <col min="6" max="6" width="20.453125" customWidth="1"/>
    <col min="7" max="7" width="12.90625" bestFit="1" customWidth="1"/>
    <col min="8" max="8" width="4.54296875" bestFit="1" customWidth="1"/>
    <col min="9" max="9" width="16.81640625" bestFit="1" customWidth="1"/>
    <col min="20" max="20" width="10.81640625" customWidth="1"/>
    <col min="21" max="21" width="11.90625" customWidth="1"/>
  </cols>
  <sheetData>
    <row r="7" spans="2:22" ht="15" thickBot="1" x14ac:dyDescent="0.4"/>
    <row r="8" spans="2:22" ht="15" thickBot="1" x14ac:dyDescent="0.4">
      <c r="B8" s="53" t="s">
        <v>0</v>
      </c>
      <c r="C8" s="55" t="s">
        <v>1</v>
      </c>
      <c r="D8" s="53" t="s">
        <v>2</v>
      </c>
      <c r="E8" s="55"/>
      <c r="G8" s="53" t="s">
        <v>19</v>
      </c>
      <c r="H8" s="62"/>
      <c r="I8" s="55"/>
      <c r="M8" s="43" t="s">
        <v>24</v>
      </c>
      <c r="N8" s="44"/>
      <c r="O8" s="13" t="s">
        <v>11</v>
      </c>
      <c r="P8" s="13" t="s">
        <v>20</v>
      </c>
      <c r="Q8" s="13" t="s">
        <v>21</v>
      </c>
      <c r="R8" s="13" t="s">
        <v>22</v>
      </c>
      <c r="S8" s="24" t="s">
        <v>23</v>
      </c>
      <c r="T8" s="49" t="s">
        <v>25</v>
      </c>
      <c r="U8" s="50"/>
    </row>
    <row r="9" spans="2:22" ht="15" thickBot="1" x14ac:dyDescent="0.4">
      <c r="B9" s="54"/>
      <c r="C9" s="56"/>
      <c r="D9" s="1" t="s">
        <v>3</v>
      </c>
      <c r="E9" s="2" t="s">
        <v>4</v>
      </c>
      <c r="G9" s="10"/>
      <c r="H9" s="11"/>
      <c r="I9" s="12"/>
      <c r="M9" s="45"/>
      <c r="N9" s="46"/>
      <c r="O9" s="14">
        <v>20</v>
      </c>
      <c r="P9" s="14">
        <v>14</v>
      </c>
      <c r="Q9" s="14">
        <v>0</v>
      </c>
      <c r="R9" s="14">
        <v>0</v>
      </c>
      <c r="S9" s="30">
        <v>0</v>
      </c>
      <c r="T9" s="51"/>
      <c r="U9" s="52"/>
    </row>
    <row r="10" spans="2:22" ht="15" thickBot="1" x14ac:dyDescent="0.4">
      <c r="B10" s="3" t="s">
        <v>5</v>
      </c>
      <c r="C10" s="5">
        <v>14</v>
      </c>
      <c r="D10" s="4">
        <v>2</v>
      </c>
      <c r="E10" s="5">
        <v>6</v>
      </c>
      <c r="G10" s="6" t="s">
        <v>12</v>
      </c>
      <c r="H10" s="7" t="s">
        <v>16</v>
      </c>
      <c r="I10" s="8" t="s">
        <v>17</v>
      </c>
      <c r="M10" s="15" t="s">
        <v>21</v>
      </c>
      <c r="N10" s="13">
        <v>0</v>
      </c>
      <c r="O10" s="16">
        <v>2</v>
      </c>
      <c r="P10" s="13">
        <v>6</v>
      </c>
      <c r="Q10" s="13">
        <v>1</v>
      </c>
      <c r="R10" s="13">
        <v>0</v>
      </c>
      <c r="S10" s="13">
        <v>0</v>
      </c>
      <c r="T10" s="18">
        <v>14</v>
      </c>
      <c r="U10" s="26">
        <f>T10/O10</f>
        <v>7</v>
      </c>
    </row>
    <row r="11" spans="2:22" ht="15" thickBot="1" x14ac:dyDescent="0.4">
      <c r="B11" s="6" t="s">
        <v>6</v>
      </c>
      <c r="C11" s="8">
        <v>14</v>
      </c>
      <c r="D11" s="7">
        <v>5</v>
      </c>
      <c r="E11" s="8">
        <v>2</v>
      </c>
      <c r="G11" s="6" t="s">
        <v>13</v>
      </c>
      <c r="H11" s="7" t="s">
        <v>16</v>
      </c>
      <c r="I11" s="8" t="s">
        <v>18</v>
      </c>
      <c r="M11" s="15" t="s">
        <v>22</v>
      </c>
      <c r="N11" s="13">
        <v>0</v>
      </c>
      <c r="O11" s="16">
        <v>5</v>
      </c>
      <c r="P11" s="13">
        <v>2</v>
      </c>
      <c r="Q11" s="13">
        <v>0</v>
      </c>
      <c r="R11" s="13">
        <v>1</v>
      </c>
      <c r="S11" s="13">
        <v>0</v>
      </c>
      <c r="T11" s="13">
        <v>14</v>
      </c>
      <c r="U11" s="27">
        <f>T11/O11</f>
        <v>2.8</v>
      </c>
    </row>
    <row r="12" spans="2:22" ht="15" thickBot="1" x14ac:dyDescent="0.4">
      <c r="B12" s="1" t="s">
        <v>7</v>
      </c>
      <c r="C12" s="2">
        <v>20</v>
      </c>
      <c r="D12" s="9">
        <v>5</v>
      </c>
      <c r="E12" s="2">
        <v>6</v>
      </c>
      <c r="G12" s="6" t="s">
        <v>14</v>
      </c>
      <c r="H12" s="7" t="s">
        <v>16</v>
      </c>
      <c r="I12" s="8" t="s">
        <v>27</v>
      </c>
      <c r="M12" s="15" t="s">
        <v>23</v>
      </c>
      <c r="N12" s="13">
        <v>0</v>
      </c>
      <c r="O12" s="16">
        <v>5</v>
      </c>
      <c r="P12" s="13">
        <v>6</v>
      </c>
      <c r="Q12" s="13">
        <v>0</v>
      </c>
      <c r="R12" s="13">
        <v>0</v>
      </c>
      <c r="S12" s="13">
        <v>1</v>
      </c>
      <c r="T12" s="13">
        <v>20</v>
      </c>
      <c r="U12" s="27">
        <f t="shared" ref="U12:U13" si="0">T12/O12</f>
        <v>4</v>
      </c>
    </row>
    <row r="13" spans="2:22" ht="21" customHeight="1" thickBot="1" x14ac:dyDescent="0.4">
      <c r="B13" s="57" t="s">
        <v>8</v>
      </c>
      <c r="C13" s="58"/>
      <c r="D13" s="4" t="s">
        <v>9</v>
      </c>
      <c r="E13" s="5" t="s">
        <v>10</v>
      </c>
      <c r="G13" s="54" t="s">
        <v>15</v>
      </c>
      <c r="H13" s="61"/>
      <c r="I13" s="56"/>
      <c r="M13" s="47" t="s">
        <v>26</v>
      </c>
      <c r="N13" s="48"/>
      <c r="O13" s="17">
        <f>SUMPRODUCT(O10:O12,$N$10:$N$12)-O9</f>
        <v>-20</v>
      </c>
      <c r="P13" s="17">
        <f t="shared" ref="P13:S13" si="1">SUMPRODUCT(P10:P12,$N$10:$N$12)-P9</f>
        <v>-14</v>
      </c>
      <c r="Q13" s="17">
        <f t="shared" si="1"/>
        <v>0</v>
      </c>
      <c r="R13" s="17">
        <f t="shared" si="1"/>
        <v>0</v>
      </c>
      <c r="S13" s="17">
        <f t="shared" si="1"/>
        <v>0</v>
      </c>
      <c r="T13" s="17">
        <f>SUMPRODUCT(T10:T12,$N$10:$N$12)</f>
        <v>0</v>
      </c>
      <c r="U13" s="29">
        <f t="shared" si="0"/>
        <v>0</v>
      </c>
    </row>
    <row r="14" spans="2:22" ht="22.75" customHeight="1" thickBot="1" x14ac:dyDescent="0.4">
      <c r="B14" s="59"/>
      <c r="C14" s="60"/>
      <c r="D14" s="9">
        <v>20</v>
      </c>
      <c r="E14" s="2">
        <v>14</v>
      </c>
      <c r="V14" s="23" t="s">
        <v>29</v>
      </c>
    </row>
    <row r="15" spans="2:22" ht="15" thickBot="1" x14ac:dyDescent="0.4">
      <c r="V15" s="22" t="s">
        <v>28</v>
      </c>
    </row>
    <row r="16" spans="2:22" ht="15" thickBot="1" x14ac:dyDescent="0.4">
      <c r="M16" s="43" t="s">
        <v>24</v>
      </c>
      <c r="N16" s="44"/>
      <c r="O16" s="13" t="s">
        <v>11</v>
      </c>
      <c r="P16" s="13" t="s">
        <v>20</v>
      </c>
      <c r="Q16" s="13" t="s">
        <v>21</v>
      </c>
      <c r="R16" s="13" t="s">
        <v>22</v>
      </c>
      <c r="S16" s="24" t="s">
        <v>23</v>
      </c>
      <c r="T16" s="49" t="s">
        <v>25</v>
      </c>
      <c r="U16" s="50"/>
    </row>
    <row r="17" spans="4:24" ht="15" thickBot="1" x14ac:dyDescent="0.4">
      <c r="D17" s="41" t="s">
        <v>31</v>
      </c>
      <c r="E17" s="42"/>
      <c r="G17" s="35" t="s">
        <v>32</v>
      </c>
      <c r="M17" s="45"/>
      <c r="N17" s="46"/>
      <c r="O17" s="19">
        <v>20</v>
      </c>
      <c r="P17" s="21">
        <v>14</v>
      </c>
      <c r="Q17" s="21">
        <v>0</v>
      </c>
      <c r="R17" s="21">
        <v>0</v>
      </c>
      <c r="S17" s="25">
        <v>0</v>
      </c>
      <c r="T17" s="51"/>
      <c r="U17" s="52"/>
      <c r="X17" s="32"/>
    </row>
    <row r="18" spans="4:24" ht="15" thickBot="1" x14ac:dyDescent="0.4">
      <c r="D18" s="35">
        <v>2.2000000000000002</v>
      </c>
      <c r="E18" s="34">
        <v>1.4999999999999996</v>
      </c>
      <c r="G18" s="35">
        <f>D14*D18+E14*E18</f>
        <v>65</v>
      </c>
      <c r="M18" s="21" t="s">
        <v>21</v>
      </c>
      <c r="N18" s="21">
        <v>0</v>
      </c>
      <c r="O18" s="19">
        <v>0</v>
      </c>
      <c r="P18" s="13">
        <f>P10-(P$11*$O10)/$O$11</f>
        <v>5.2</v>
      </c>
      <c r="Q18" s="13">
        <f>Q10-(Q$11*$O10)/$O$11</f>
        <v>1</v>
      </c>
      <c r="R18" s="13">
        <f>R10-(R$11*$O10)/$O$11</f>
        <v>-0.4</v>
      </c>
      <c r="S18" s="13">
        <f>S10-(S$11*$O10)/$O$11</f>
        <v>0</v>
      </c>
      <c r="T18" s="18">
        <f>T10-(T$11*$O10)/$O$11</f>
        <v>8.4</v>
      </c>
      <c r="U18" s="31">
        <f>T18/P18</f>
        <v>1.6153846153846154</v>
      </c>
    </row>
    <row r="19" spans="4:24" ht="15" thickBot="1" x14ac:dyDescent="0.4">
      <c r="M19" s="21" t="s">
        <v>11</v>
      </c>
      <c r="N19" s="20">
        <v>20</v>
      </c>
      <c r="O19" s="28">
        <v>1</v>
      </c>
      <c r="P19" s="20">
        <f>P11/$O$11</f>
        <v>0.4</v>
      </c>
      <c r="Q19" s="20">
        <f>Q11/$O$11</f>
        <v>0</v>
      </c>
      <c r="R19" s="20">
        <f>R11/$O$11</f>
        <v>0.2</v>
      </c>
      <c r="S19" s="20">
        <f>S11/$O$11</f>
        <v>0</v>
      </c>
      <c r="T19" s="20">
        <f>T11/$O$11</f>
        <v>2.8</v>
      </c>
      <c r="U19" s="31">
        <f t="shared" ref="U19" si="2">T19/P19</f>
        <v>6.9999999999999991</v>
      </c>
    </row>
    <row r="20" spans="4:24" ht="15" thickBot="1" x14ac:dyDescent="0.4">
      <c r="D20" s="41" t="s">
        <v>33</v>
      </c>
      <c r="E20" s="42"/>
      <c r="F20" s="35" t="s">
        <v>34</v>
      </c>
      <c r="G20" s="36" t="s">
        <v>35</v>
      </c>
      <c r="M20" s="21" t="s">
        <v>23</v>
      </c>
      <c r="N20" s="13">
        <v>0</v>
      </c>
      <c r="O20" s="19">
        <v>0</v>
      </c>
      <c r="P20" s="13">
        <f>P12-(P$11*$O12)/$O$11</f>
        <v>4</v>
      </c>
      <c r="Q20" s="13">
        <f>Q12-(Q$11*$O12)/$O$11</f>
        <v>0</v>
      </c>
      <c r="R20" s="13">
        <f>R12-(R$11*$O12)/$O$11</f>
        <v>-1</v>
      </c>
      <c r="S20" s="13">
        <f>S12-(S$11*$O12)/$O$11</f>
        <v>1</v>
      </c>
      <c r="T20" s="13">
        <f>T12-(T$11*$O12)/$O$11</f>
        <v>6</v>
      </c>
      <c r="U20" s="31">
        <f>T20/P20</f>
        <v>1.5</v>
      </c>
    </row>
    <row r="21" spans="4:24" ht="15" thickBot="1" x14ac:dyDescent="0.4">
      <c r="D21" s="10" t="s">
        <v>5</v>
      </c>
      <c r="E21" s="12"/>
      <c r="F21" s="39">
        <f>D10*$D$18+E10*$E$18</f>
        <v>13.399999999999997</v>
      </c>
      <c r="G21" s="12">
        <v>14</v>
      </c>
      <c r="M21" s="47" t="s">
        <v>26</v>
      </c>
      <c r="N21" s="48"/>
      <c r="O21" s="19">
        <v>0</v>
      </c>
      <c r="P21" s="13">
        <f>P13-(P$11*$O13)/$O$11</f>
        <v>-6</v>
      </c>
      <c r="Q21" s="13">
        <f>Q13-(Q$11*$O13)/$O$11</f>
        <v>0</v>
      </c>
      <c r="R21" s="13">
        <f>R13-(R$11*$O13)/$O$11</f>
        <v>4</v>
      </c>
      <c r="S21" s="13">
        <f>S13-(S$11*$O13)/$O$11</f>
        <v>0</v>
      </c>
      <c r="T21" s="32">
        <f>SUMPRODUCT($N$18:$N$20,T18:T20)</f>
        <v>56</v>
      </c>
      <c r="U21" s="32" t="s">
        <v>30</v>
      </c>
    </row>
    <row r="22" spans="4:24" x14ac:dyDescent="0.35">
      <c r="D22" s="10" t="s">
        <v>6</v>
      </c>
      <c r="E22" s="12"/>
      <c r="F22" s="37">
        <f>D11*$D$18+E11*$E$18</f>
        <v>14</v>
      </c>
      <c r="G22" s="12">
        <v>14</v>
      </c>
    </row>
    <row r="23" spans="4:24" ht="15" thickBot="1" x14ac:dyDescent="0.4">
      <c r="D23" s="33" t="s">
        <v>7</v>
      </c>
      <c r="E23" s="34"/>
      <c r="F23" s="38">
        <f>D12*$D$18+E12*$E$18</f>
        <v>19.999999999999996</v>
      </c>
      <c r="G23" s="34">
        <v>20</v>
      </c>
    </row>
    <row r="26" spans="4:24" ht="15" thickBot="1" x14ac:dyDescent="0.4"/>
    <row r="27" spans="4:24" ht="15" thickBot="1" x14ac:dyDescent="0.4">
      <c r="M27" s="43" t="s">
        <v>24</v>
      </c>
      <c r="N27" s="44"/>
      <c r="O27" s="21" t="s">
        <v>11</v>
      </c>
      <c r="P27" s="19" t="s">
        <v>20</v>
      </c>
      <c r="Q27" s="21" t="s">
        <v>21</v>
      </c>
      <c r="R27" s="21" t="s">
        <v>22</v>
      </c>
      <c r="S27" s="25" t="s">
        <v>23</v>
      </c>
      <c r="T27" s="49" t="s">
        <v>25</v>
      </c>
      <c r="U27" s="50"/>
    </row>
    <row r="28" spans="4:24" ht="15" thickBot="1" x14ac:dyDescent="0.4">
      <c r="M28" s="45"/>
      <c r="N28" s="46"/>
      <c r="O28" s="21">
        <v>20</v>
      </c>
      <c r="P28" s="19">
        <v>14</v>
      </c>
      <c r="Q28" s="21">
        <v>0</v>
      </c>
      <c r="R28" s="21">
        <v>0</v>
      </c>
      <c r="S28" s="25">
        <v>0</v>
      </c>
      <c r="T28" s="51"/>
      <c r="U28" s="52"/>
    </row>
    <row r="29" spans="4:24" ht="15" thickBot="1" x14ac:dyDescent="0.4">
      <c r="M29" s="21" t="s">
        <v>21</v>
      </c>
      <c r="N29" s="21">
        <v>0</v>
      </c>
      <c r="O29" s="21">
        <f>O18-(O$20*$P18)/$P$20</f>
        <v>0</v>
      </c>
      <c r="P29" s="19">
        <v>0</v>
      </c>
      <c r="Q29" s="21">
        <f>Q18-(Q$20*$P18)/$P$20</f>
        <v>1</v>
      </c>
      <c r="R29" s="21">
        <f t="shared" ref="R29:S29" si="3">R18-(R$20*$P18)/$P$20</f>
        <v>0.9</v>
      </c>
      <c r="S29" s="21">
        <f t="shared" si="3"/>
        <v>-1.3</v>
      </c>
      <c r="T29" s="31">
        <f>T18-(T$20*$P18)/$P$20</f>
        <v>0.59999999999999964</v>
      </c>
      <c r="U29" s="31"/>
    </row>
    <row r="30" spans="4:24" ht="15" thickBot="1" x14ac:dyDescent="0.4">
      <c r="M30" s="21" t="s">
        <v>11</v>
      </c>
      <c r="N30" s="21">
        <v>20</v>
      </c>
      <c r="O30" s="21">
        <f>O19-(O$20*$P19)/$P$20</f>
        <v>1</v>
      </c>
      <c r="P30" s="40">
        <v>0</v>
      </c>
      <c r="Q30" s="21">
        <f>Q19-(Q$20*$P19)/$P$20</f>
        <v>0</v>
      </c>
      <c r="R30" s="21">
        <f t="shared" ref="R30:S30" si="4">R19-(R$20*$P19)/$P$20</f>
        <v>0.30000000000000004</v>
      </c>
      <c r="S30" s="21">
        <f t="shared" si="4"/>
        <v>-0.1</v>
      </c>
      <c r="T30" s="31">
        <f>T19-(T$20*$P19)/$P$20</f>
        <v>2.1999999999999997</v>
      </c>
      <c r="U30" s="31"/>
    </row>
    <row r="31" spans="4:24" ht="15" thickBot="1" x14ac:dyDescent="0.4">
      <c r="M31" s="21" t="s">
        <v>20</v>
      </c>
      <c r="N31" s="20">
        <v>14</v>
      </c>
      <c r="O31" s="20">
        <f>O20/$P$20</f>
        <v>0</v>
      </c>
      <c r="P31" s="28">
        <f>P20/$P$20</f>
        <v>1</v>
      </c>
      <c r="Q31" s="20">
        <f t="shared" ref="Q31:T31" si="5">Q20/$P$20</f>
        <v>0</v>
      </c>
      <c r="R31" s="20">
        <f t="shared" si="5"/>
        <v>-0.25</v>
      </c>
      <c r="S31" s="20">
        <f t="shared" si="5"/>
        <v>0.25</v>
      </c>
      <c r="T31" s="20">
        <f t="shared" si="5"/>
        <v>1.5</v>
      </c>
      <c r="U31" s="31"/>
    </row>
    <row r="32" spans="4:24" ht="15" thickBot="1" x14ac:dyDescent="0.4">
      <c r="M32" s="47" t="s">
        <v>26</v>
      </c>
      <c r="N32" s="48"/>
      <c r="O32" s="21">
        <f t="shared" ref="O32" si="6">O21-(O$19*$P21)/$P$19</f>
        <v>15</v>
      </c>
      <c r="P32" s="19">
        <v>0</v>
      </c>
      <c r="Q32" s="21">
        <f>Q21-(Q$20*$P21)/$P$20</f>
        <v>0</v>
      </c>
      <c r="R32" s="21">
        <f t="shared" ref="R32:S32" si="7">R21-(R$20*$P21)/$P$20</f>
        <v>2.5</v>
      </c>
      <c r="S32" s="21">
        <f t="shared" si="7"/>
        <v>1.5</v>
      </c>
      <c r="T32" s="31">
        <f>T21-(T$20*$P21)/$P$20</f>
        <v>65</v>
      </c>
      <c r="U32" s="32"/>
    </row>
  </sheetData>
  <mergeCells count="17">
    <mergeCell ref="D17:E17"/>
    <mergeCell ref="D20:E20"/>
    <mergeCell ref="M27:N28"/>
    <mergeCell ref="M32:N32"/>
    <mergeCell ref="T27:U28"/>
    <mergeCell ref="B8:B9"/>
    <mergeCell ref="C8:C9"/>
    <mergeCell ref="D8:E8"/>
    <mergeCell ref="B13:C14"/>
    <mergeCell ref="M21:N21"/>
    <mergeCell ref="T16:U17"/>
    <mergeCell ref="G13:I13"/>
    <mergeCell ref="G8:I8"/>
    <mergeCell ref="M8:N9"/>
    <mergeCell ref="M13:N13"/>
    <mergeCell ref="M16:N17"/>
    <mergeCell ref="T8:U9"/>
  </mergeCell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Eduard Tigranyan</cp:lastModifiedBy>
  <dcterms:created xsi:type="dcterms:W3CDTF">2015-06-05T18:19:34Z</dcterms:created>
  <dcterms:modified xsi:type="dcterms:W3CDTF">2025-09-27T02:56:05Z</dcterms:modified>
</cp:coreProperties>
</file>