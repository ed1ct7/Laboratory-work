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ecret\fork\Labwork\3 Курс\МДК 02.03\Лабораторная работа 7\"/>
    </mc:Choice>
  </mc:AlternateContent>
  <xr:revisionPtr revIDLastSave="0" documentId="13_ncr:1_{2CCF3D0C-F5E3-42A3-A380-3E1544E89AAF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Part1_fixed" sheetId="1" r:id="rId1"/>
    <sheet name="Data_old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" i="1" l="1"/>
  <c r="K12" i="1"/>
  <c r="L11" i="1"/>
  <c r="K11" i="1"/>
  <c r="L10" i="1"/>
  <c r="K10" i="1"/>
  <c r="L9" i="1"/>
  <c r="K9" i="1"/>
  <c r="L8" i="1"/>
  <c r="K8" i="1"/>
  <c r="L7" i="1"/>
  <c r="K7" i="1"/>
  <c r="L6" i="1"/>
  <c r="K6" i="1"/>
  <c r="L5" i="1"/>
  <c r="K5" i="1"/>
  <c r="L4" i="1"/>
  <c r="K4" i="1"/>
  <c r="L3" i="1"/>
  <c r="K3" i="1"/>
  <c r="L2" i="1"/>
  <c r="K2" i="1"/>
  <c r="B15" i="1" l="1"/>
  <c r="B16" i="1"/>
  <c r="B34" i="2" l="1"/>
  <c r="B25" i="2"/>
  <c r="C26" i="2"/>
  <c r="C25" i="2"/>
  <c r="C21" i="2"/>
  <c r="C18" i="2"/>
  <c r="C22" i="2" s="1"/>
  <c r="C15" i="2"/>
  <c r="C14" i="2"/>
  <c r="O12" i="2"/>
  <c r="K12" i="2"/>
  <c r="J12" i="2"/>
  <c r="I12" i="2"/>
  <c r="H12" i="2"/>
  <c r="G12" i="2"/>
  <c r="F12" i="2"/>
  <c r="E12" i="2"/>
  <c r="D12" i="2"/>
  <c r="O11" i="2"/>
  <c r="K11" i="2"/>
  <c r="J11" i="2"/>
  <c r="I11" i="2"/>
  <c r="H11" i="2"/>
  <c r="G11" i="2"/>
  <c r="F11" i="2"/>
  <c r="E11" i="2"/>
  <c r="D11" i="2"/>
  <c r="O10" i="2"/>
  <c r="K10" i="2"/>
  <c r="J10" i="2"/>
  <c r="I10" i="2"/>
  <c r="H10" i="2"/>
  <c r="G10" i="2"/>
  <c r="F10" i="2"/>
  <c r="E10" i="2"/>
  <c r="D10" i="2"/>
  <c r="O9" i="2"/>
  <c r="K9" i="2"/>
  <c r="J9" i="2"/>
  <c r="I9" i="2"/>
  <c r="H9" i="2"/>
  <c r="G9" i="2"/>
  <c r="F9" i="2"/>
  <c r="E9" i="2"/>
  <c r="D9" i="2"/>
  <c r="O8" i="2"/>
  <c r="K8" i="2"/>
  <c r="J8" i="2"/>
  <c r="I8" i="2"/>
  <c r="H8" i="2"/>
  <c r="G8" i="2"/>
  <c r="F8" i="2"/>
  <c r="E8" i="2"/>
  <c r="D8" i="2"/>
  <c r="O7" i="2"/>
  <c r="K7" i="2"/>
  <c r="J7" i="2"/>
  <c r="I7" i="2"/>
  <c r="H7" i="2"/>
  <c r="G7" i="2"/>
  <c r="F7" i="2"/>
  <c r="E7" i="2"/>
  <c r="D7" i="2"/>
  <c r="O6" i="2"/>
  <c r="K6" i="2"/>
  <c r="J6" i="2"/>
  <c r="I6" i="2"/>
  <c r="H6" i="2"/>
  <c r="G6" i="2"/>
  <c r="F6" i="2"/>
  <c r="E6" i="2"/>
  <c r="D6" i="2"/>
  <c r="O5" i="2"/>
  <c r="K5" i="2"/>
  <c r="J5" i="2"/>
  <c r="I5" i="2"/>
  <c r="H5" i="2"/>
  <c r="G5" i="2"/>
  <c r="F5" i="2"/>
  <c r="E5" i="2"/>
  <c r="D5" i="2"/>
  <c r="O4" i="2"/>
  <c r="C23" i="2" s="1"/>
  <c r="C24" i="2" s="1"/>
  <c r="K4" i="2"/>
  <c r="J4" i="2"/>
  <c r="I4" i="2"/>
  <c r="H4" i="2"/>
  <c r="G4" i="2"/>
  <c r="F4" i="2"/>
  <c r="E4" i="2"/>
  <c r="D4" i="2"/>
  <c r="O3" i="2"/>
  <c r="K3" i="2"/>
  <c r="J3" i="2"/>
  <c r="I3" i="2"/>
  <c r="H3" i="2"/>
  <c r="G3" i="2"/>
  <c r="F3" i="2"/>
  <c r="E3" i="2"/>
  <c r="D3" i="2"/>
  <c r="J2" i="2"/>
  <c r="H2" i="2"/>
  <c r="F2" i="2"/>
  <c r="E2" i="2"/>
  <c r="D2" i="2"/>
  <c r="B33" i="1"/>
  <c r="B28" i="1"/>
  <c r="B34" i="1" s="1"/>
  <c r="B14" i="1"/>
  <c r="B25" i="1" s="1"/>
  <c r="J12" i="1"/>
  <c r="I12" i="1"/>
  <c r="H12" i="1"/>
  <c r="G12" i="1"/>
  <c r="F12" i="1"/>
  <c r="E12" i="1"/>
  <c r="D12" i="1"/>
  <c r="C12" i="1"/>
  <c r="J11" i="1"/>
  <c r="I11" i="1"/>
  <c r="H11" i="1"/>
  <c r="G11" i="1"/>
  <c r="F11" i="1"/>
  <c r="E11" i="1"/>
  <c r="D11" i="1"/>
  <c r="C11" i="1"/>
  <c r="J10" i="1"/>
  <c r="I10" i="1"/>
  <c r="H10" i="1"/>
  <c r="G10" i="1"/>
  <c r="F10" i="1"/>
  <c r="E10" i="1"/>
  <c r="D10" i="1"/>
  <c r="C10" i="1"/>
  <c r="J9" i="1"/>
  <c r="I9" i="1"/>
  <c r="H9" i="1"/>
  <c r="G9" i="1"/>
  <c r="F9" i="1"/>
  <c r="E9" i="1"/>
  <c r="D9" i="1"/>
  <c r="C9" i="1"/>
  <c r="J8" i="1"/>
  <c r="I8" i="1"/>
  <c r="H8" i="1"/>
  <c r="G8" i="1"/>
  <c r="F8" i="1"/>
  <c r="E8" i="1"/>
  <c r="D8" i="1"/>
  <c r="C8" i="1"/>
  <c r="J7" i="1"/>
  <c r="I7" i="1"/>
  <c r="H7" i="1"/>
  <c r="G7" i="1"/>
  <c r="F7" i="1"/>
  <c r="E7" i="1"/>
  <c r="D7" i="1"/>
  <c r="C7" i="1"/>
  <c r="J6" i="1"/>
  <c r="I6" i="1"/>
  <c r="H6" i="1"/>
  <c r="G6" i="1"/>
  <c r="F6" i="1"/>
  <c r="E6" i="1"/>
  <c r="D6" i="1"/>
  <c r="C6" i="1"/>
  <c r="J5" i="1"/>
  <c r="I5" i="1"/>
  <c r="H5" i="1"/>
  <c r="G5" i="1"/>
  <c r="F5" i="1"/>
  <c r="E5" i="1"/>
  <c r="D5" i="1"/>
  <c r="C5" i="1"/>
  <c r="J4" i="1"/>
  <c r="I4" i="1"/>
  <c r="H4" i="1"/>
  <c r="G4" i="1"/>
  <c r="F4" i="1"/>
  <c r="E4" i="1"/>
  <c r="D4" i="1"/>
  <c r="C4" i="1"/>
  <c r="J3" i="1"/>
  <c r="I3" i="1"/>
  <c r="H3" i="1"/>
  <c r="G3" i="1"/>
  <c r="F3" i="1"/>
  <c r="E3" i="1"/>
  <c r="D3" i="1"/>
  <c r="C3" i="1"/>
  <c r="I2" i="1"/>
  <c r="G2" i="1"/>
  <c r="E2" i="1"/>
  <c r="D2" i="1"/>
  <c r="C2" i="1"/>
  <c r="B30" i="1" l="1"/>
  <c r="B31" i="1" s="1"/>
  <c r="B29" i="1"/>
  <c r="B17" i="1"/>
  <c r="C16" i="2"/>
  <c r="C17" i="2"/>
  <c r="B18" i="1"/>
  <c r="C19" i="2"/>
  <c r="C20" i="2" s="1"/>
  <c r="B20" i="1"/>
  <c r="B21" i="1" s="1"/>
  <c r="M5" i="1" l="1"/>
  <c r="N5" i="1" s="1"/>
  <c r="O5" i="1" s="1"/>
  <c r="F17" i="1"/>
  <c r="M7" i="1"/>
  <c r="N7" i="1" s="1"/>
  <c r="O7" i="1" s="1"/>
  <c r="M2" i="1"/>
  <c r="M10" i="1"/>
  <c r="N10" i="1" s="1"/>
  <c r="O10" i="1" s="1"/>
  <c r="F16" i="1"/>
  <c r="M12" i="1"/>
  <c r="N12" i="1" s="1"/>
  <c r="O12" i="1" s="1"/>
  <c r="M4" i="1"/>
  <c r="N4" i="1" s="1"/>
  <c r="O4" i="1" s="1"/>
  <c r="M9" i="1"/>
  <c r="N9" i="1" s="1"/>
  <c r="O9" i="1" s="1"/>
  <c r="M6" i="1"/>
  <c r="N6" i="1" s="1"/>
  <c r="O6" i="1" s="1"/>
  <c r="M11" i="1"/>
  <c r="N11" i="1" s="1"/>
  <c r="O11" i="1" s="1"/>
  <c r="M3" i="1"/>
  <c r="N3" i="1" s="1"/>
  <c r="O3" i="1" s="1"/>
  <c r="M8" i="1"/>
  <c r="N8" i="1" s="1"/>
  <c r="O8" i="1" s="1"/>
  <c r="L11" i="2"/>
  <c r="M11" i="2" s="1"/>
  <c r="N11" i="2" s="1"/>
  <c r="L3" i="2"/>
  <c r="M3" i="2" s="1"/>
  <c r="N3" i="2" s="1"/>
  <c r="C29" i="2"/>
  <c r="C28" i="2"/>
  <c r="L8" i="2"/>
  <c r="M8" i="2" s="1"/>
  <c r="N8" i="2" s="1"/>
  <c r="L5" i="2"/>
  <c r="M5" i="2" s="1"/>
  <c r="N5" i="2" s="1"/>
  <c r="L2" i="2"/>
  <c r="M2" i="2" s="1"/>
  <c r="N2" i="2" s="1"/>
  <c r="L10" i="2"/>
  <c r="M10" i="2" s="1"/>
  <c r="N10" i="2" s="1"/>
  <c r="L7" i="2"/>
  <c r="M7" i="2" s="1"/>
  <c r="N7" i="2" s="1"/>
  <c r="L12" i="2"/>
  <c r="M12" i="2" s="1"/>
  <c r="N12" i="2" s="1"/>
  <c r="L4" i="2"/>
  <c r="M4" i="2" s="1"/>
  <c r="N4" i="2" s="1"/>
  <c r="L9" i="2"/>
  <c r="M9" i="2" s="1"/>
  <c r="N9" i="2" s="1"/>
  <c r="L6" i="2"/>
  <c r="M6" i="2" s="1"/>
  <c r="N6" i="2" s="1"/>
  <c r="N2" i="1" l="1"/>
  <c r="O2" i="1" s="1"/>
  <c r="B23" i="1" s="1"/>
  <c r="B24" i="1" s="1"/>
  <c r="H16" i="1" s="1"/>
  <c r="C27" i="2"/>
  <c r="C33" i="2" s="1"/>
  <c r="C30" i="2"/>
  <c r="C32" i="2" l="1"/>
  <c r="C31" i="2"/>
  <c r="G17" i="1"/>
  <c r="H17" i="1"/>
  <c r="G16" i="1"/>
</calcChain>
</file>

<file path=xl/sharedStrings.xml><?xml version="1.0" encoding="utf-8"?>
<sst xmlns="http://schemas.openxmlformats.org/spreadsheetml/2006/main" count="92" uniqueCount="88">
  <si>
    <t>Годы (xᵢ)</t>
  </si>
  <si>
    <t>Уровень ряда yᵢ, млн руб.</t>
  </si>
  <si>
    <t>xᵢ²</t>
  </si>
  <si>
    <t>xᵢ·yᵢ</t>
  </si>
  <si>
    <t>Выровненный уровень ŷᵢ</t>
  </si>
  <si>
    <t>Остаток εᵢ = yᵢ−ŷᵢ</t>
  </si>
  <si>
    <t>n</t>
  </si>
  <si>
    <t>Прогноз</t>
  </si>
  <si>
    <t>∑xᵢ</t>
  </si>
  <si>
    <t>Год</t>
  </si>
  <si>
    <t>ŷ</t>
  </si>
  <si>
    <t>Нижн. граница (ŷ−σ·tкр)</t>
  </si>
  <si>
    <t>Верхн. граница (ŷ+σ·tкр)</t>
  </si>
  <si>
    <t>∑yᵢ</t>
  </si>
  <si>
    <t>∑xᵢ²</t>
  </si>
  <si>
    <t>∑xᵢyᵢ</t>
  </si>
  <si>
    <t>SSE = ∑εᵢ²</t>
  </si>
  <si>
    <t>σ = √(SSE/(n−2))</t>
  </si>
  <si>
    <t>tкр = T.INV.2T(α; n−2)</t>
  </si>
  <si>
    <t>α (уровень значимости)</t>
  </si>
  <si>
    <t>Средний уровень ряда ȳ</t>
  </si>
  <si>
    <t>Средний темп прироста t̄р</t>
  </si>
  <si>
    <t>Размах колебаний (амплитуда)</t>
  </si>
  <si>
    <t>Коэф. вариации V, %</t>
  </si>
  <si>
    <t>Год (xᵢ)</t>
  </si>
  <si>
    <t>x</t>
  </si>
  <si>
    <t>x*x</t>
  </si>
  <si>
    <t>xy</t>
  </si>
  <si>
    <t>Абсолютный прирост, базисный Δyᵢᵇ (млн руб.)</t>
  </si>
  <si>
    <t>Абсолютный прирост, цепной Δyᵢᶜ (млн руб.)</t>
  </si>
  <si>
    <t>Темп роста, базисный Tᵢᵇ (%)</t>
  </si>
  <si>
    <t>Темп роста, цепной Tᵢᶜ (%)</t>
  </si>
  <si>
    <t>Темп прироста, базисный tᵢᵇ (%)</t>
  </si>
  <si>
    <t>Темп прироста, цепной tᵢᶜ (%)</t>
  </si>
  <si>
    <t>Выровненный уровень ŷᵢ (млн руб.)</t>
  </si>
  <si>
    <t>Остаток εᵢ = yᵢ − ŷᵢ</t>
  </si>
  <si>
    <t>Квадрат ошибки аппроксимации εᵢ2</t>
  </si>
  <si>
    <t>Цепной коэффициент роста</t>
  </si>
  <si>
    <t>Сумма значений аргумента ∑xᵢ</t>
  </si>
  <si>
    <t>Сумма уровней ряда ∑yᵢ</t>
  </si>
  <si>
    <t>Сумма квадратов аргумента ∑xᵢ²</t>
  </si>
  <si>
    <t>Сумма произведений ∑xᵢyᵢ</t>
  </si>
  <si>
    <t>Число наблюдений n</t>
  </si>
  <si>
    <t>Коэффициент наклона a₂</t>
  </si>
  <si>
    <t>Для этого:</t>
  </si>
  <si>
    <t>Свободный член a₁</t>
  </si>
  <si>
    <t>1. Рассчитать средний уровень ряда.</t>
  </si>
  <si>
    <t>Средний уровень динамического ряда</t>
  </si>
  <si>
    <t>2. Рассчитать абсолютный прирост, темп роста и темп прироста для всех уровней и</t>
  </si>
  <si>
    <t>Средний абсолютный прирост</t>
  </si>
  <si>
    <t>средние значения этих показателей.</t>
  </si>
  <si>
    <t>Средний темп роста, %</t>
  </si>
  <si>
    <t>3. Провести аналитическое выравнивание динамического ряда методом</t>
  </si>
  <si>
    <t>Средний темп прироста, %</t>
  </si>
  <si>
    <t>наименьших квадратов, т.е. функцию y = f(x), заданную таблично,</t>
  </si>
  <si>
    <t>аппроксимировать многочленом первой степени y = P1</t>
  </si>
  <si>
    <t>Коэффициент вариации, %</t>
  </si>
  <si>
    <t>Среднеквадратическое отклонение σ</t>
  </si>
  <si>
    <t>(x) = a1 + a2x;</t>
  </si>
  <si>
    <t>Прогнозное значение на 2021 год</t>
  </si>
  <si>
    <t>Прогнозное значение на 2022 год</t>
  </si>
  <si>
    <t>4. Рассчитать точность полученной динамической модели (уравнения) ряда,</t>
  </si>
  <si>
    <t>Нижняя граница прогноза на 2021 год</t>
  </si>
  <si>
    <t>сделать прогноз на два года.</t>
  </si>
  <si>
    <t>Верхняя граница прогноза на 2021 год</t>
  </si>
  <si>
    <t>5. Определить колеблемость показателя и его устойчивость.</t>
  </si>
  <si>
    <t>Нижняя граница прогноза на 2022 год</t>
  </si>
  <si>
    <t>6. Показать на графике исходный и выровненный динамические ряды.</t>
  </si>
  <si>
    <t>Верхняя граница прогноза на 2022 год</t>
  </si>
  <si>
    <t>7. Средствами MS Excel построить точечную диаграмму по исходным табличным</t>
  </si>
  <si>
    <t>данным, соответствующим своему варианту. Добавить линии тренда: линейный,</t>
  </si>
  <si>
    <t>полиномиальный, экспоненциальный. Установить флаги «Показывать уравнение</t>
  </si>
  <si>
    <t>на диаграмме», «Поместить на диаграмму величину достоверности</t>
  </si>
  <si>
    <t>аппроксимации (R^2)». Для линейной линии тренда сравнить ее показатели с</t>
  </si>
  <si>
    <t>рассчитанными аналитическим путем коэффициентами. Сделать вывод о том,</t>
  </si>
  <si>
    <t>какая из линий тренда лучше аппроксимирует исходные данные.</t>
  </si>
  <si>
    <t>8. Сделать выводы по работе.</t>
  </si>
  <si>
    <t>базовый прирост</t>
  </si>
  <si>
    <t>цепной прирост</t>
  </si>
  <si>
    <t>базовый прирост темп</t>
  </si>
  <si>
    <t>цепной прирост темп</t>
  </si>
  <si>
    <t>среднеквадратическое отклонение. точность полученной динамической модели</t>
  </si>
  <si>
    <t>a₁</t>
  </si>
  <si>
    <t>a₂</t>
  </si>
  <si>
    <t>Средний темп роста T̄р</t>
  </si>
  <si>
    <t>средний абсолютный прирост</t>
  </si>
  <si>
    <t>средний абсолютный прирост %</t>
  </si>
  <si>
    <t>Средний абсолютный прирост (обычный)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</si>
</sst>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2" fontId="0" fillId="0" borderId="0" xfId="0" applyNumberFormat="1" applyAlignment="1">
      <alignment horizontal="center" vertical="center"/>
    </xf>
    <xf numFmtId="0" fontId="1" fillId="0" borderId="0" xfId="0" applyNumberFormat="1" applyFont="1" applyAlignment="1">
      <alignment horizontal="center" vertical="center" wrapText="1"/>
    </xf>
    <xf numFmtId="0" fontId="0" fillId="0" borderId="0" xfId="0" applyNumberFormat="1"/>
    <xf numFmtId="0" fontId="0" fillId="0" borderId="0" xfId="0" applyNumberFormat="1" applyAlignment="1">
      <alignment horizontal="center" vertical="center"/>
    </xf>
    <xf numFmtId="0" fontId="3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9" fontId="0" fillId="0" borderId="0" xfId="0" applyNumberFormat="1"/>
    <xf numFmtId="0" fontId="2" fillId="0" borderId="0" xfId="0" applyFont="1" applyAlignment="1">
      <alignment vertical="center"/>
    </xf>
    <xf numFmtId="0" fontId="4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Original vs Trend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140943880005"/>
          <c:y val="0.2040627734033246"/>
          <c:w val="0.88440320443112241"/>
          <c:h val="0.47955016039661708"/>
        </c:manualLayout>
      </c:layout>
      <c:lineChart>
        <c:grouping val="standard"/>
        <c:varyColors val="0"/>
        <c:ser>
          <c:idx val="0"/>
          <c:order val="0"/>
          <c:tx>
            <c:v>Original</c:v>
          </c:tx>
          <c:spPr>
            <a:ln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numRef>
              <c:f>[1]Data!$A$2:$A$12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cat>
          <c:val>
            <c:numRef>
              <c:f>[1]Data!$B$2:$B$12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8E-4A06-82C8-DE786C304592}"/>
            </c:ext>
          </c:extLst>
        </c:ser>
        <c:ser>
          <c:idx val="1"/>
          <c:order val="1"/>
          <c:tx>
            <c:v>Trend (LS)</c:v>
          </c:tx>
          <c:spPr>
            <a:ln>
              <a:solidFill>
                <a:srgbClr val="FF0000"/>
              </a:solidFill>
              <a:prstDash val="dash"/>
            </a:ln>
          </c:spPr>
          <c:marker>
            <c:symbol val="none"/>
          </c:marker>
          <c:cat>
            <c:numRef>
              <c:f>[1]Data!$A$2:$A$12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cat>
          <c:val>
            <c:numRef>
              <c:f>[1]Data!$L$2:$L$12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8E-4A06-82C8-DE786C3045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0001"/>
        <c:axId val="50010002"/>
      </c:line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Year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Indicator (y)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Scatter with Trendlines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Data</c:v>
          </c:tx>
          <c:spPr>
            <a:ln>
              <a:prstDash val="solid"/>
            </a:ln>
          </c:spPr>
          <c:marker>
            <c:symbol val="circle"/>
            <c:size val="3"/>
            <c:spPr>
              <a:solidFill>
                <a:srgbClr val="FFFF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trendline>
            <c:spPr>
              <a:ln>
                <a:solidFill>
                  <a:srgbClr val="FF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-0.27683763763215929"/>
                  <c:y val="-0.32976377952755898"/>
                </c:manualLayout>
              </c:layout>
              <c:numFmt formatCode="General" sourceLinked="0"/>
            </c:trendlineLbl>
          </c:trendline>
          <c:xVal>
            <c:numRef>
              <c:f>[1]Data!$C$2:$C$12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xVal>
          <c:yVal>
            <c:numRef>
              <c:f>[1]Data!$B$2:$B$12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E0-48F8-8666-99C883A95D3F}"/>
            </c:ext>
          </c:extLst>
        </c:ser>
        <c:ser>
          <c:idx val="1"/>
          <c:order val="1"/>
          <c:tx>
            <c:v>Data (Poly)</c:v>
          </c:tx>
          <c:spPr>
            <a:ln>
              <a:prstDash val="solid"/>
            </a:ln>
          </c:spPr>
          <c:marker>
            <c:symbol val="none"/>
          </c:marker>
          <c:trendline>
            <c:spPr>
              <a:ln>
                <a:solidFill>
                  <a:srgbClr val="008000"/>
                </a:solidFill>
                <a:prstDash val="solid"/>
              </a:ln>
            </c:spPr>
            <c:trendlineType val="poly"/>
            <c:order val="2"/>
            <c:dispRSqr val="1"/>
            <c:dispEq val="1"/>
            <c:trendlineLbl>
              <c:layout>
                <c:manualLayout>
                  <c:x val="1.640583803301545E-3"/>
                  <c:y val="-0.29745552639253431"/>
                </c:manualLayout>
              </c:layout>
              <c:numFmt formatCode="General" sourceLinked="0"/>
            </c:trendlineLbl>
          </c:trendline>
          <c:xVal>
            <c:numRef>
              <c:f>[1]Data!$C$2:$C$12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xVal>
          <c:yVal>
            <c:numRef>
              <c:f>[1]Data!$B$2:$B$12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9E0-48F8-8666-99C883A95D3F}"/>
            </c:ext>
          </c:extLst>
        </c:ser>
        <c:ser>
          <c:idx val="2"/>
          <c:order val="2"/>
          <c:tx>
            <c:v>Data (Expo)</c:v>
          </c:tx>
          <c:spPr>
            <a:ln>
              <a:prstDash val="solid"/>
            </a:ln>
          </c:spPr>
          <c:marker>
            <c:symbol val="none"/>
          </c:marker>
          <c:trendline>
            <c:spPr>
              <a:ln>
                <a:solidFill>
                  <a:srgbClr val="0000FF"/>
                </a:solidFill>
                <a:prstDash val="solid"/>
              </a:ln>
            </c:spPr>
            <c:trendlineType val="exp"/>
            <c:dispRSqr val="1"/>
            <c:dispEq val="1"/>
            <c:trendlineLbl>
              <c:layout>
                <c:manualLayout>
                  <c:x val="-0.16849310521664401"/>
                  <c:y val="1.785526809148856E-2"/>
                </c:manualLayout>
              </c:layout>
              <c:numFmt formatCode="General" sourceLinked="0"/>
            </c:trendlineLbl>
          </c:trendline>
          <c:xVal>
            <c:numRef>
              <c:f>[1]Data!$C$2:$C$12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xVal>
          <c:yVal>
            <c:numRef>
              <c:f>[1]Data!$B$2:$B$12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9E0-48F8-8666-99C883A95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20001"/>
        <c:axId val="50020002"/>
      </c:scatterChart>
      <c:valAx>
        <c:axId val="500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 index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Indicator (y)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20001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796019</xdr:colOff>
      <xdr:row>13</xdr:row>
      <xdr:rowOff>108856</xdr:rowOff>
    </xdr:from>
    <xdr:to>
      <xdr:col>9</xdr:col>
      <xdr:colOff>1409701</xdr:colOff>
      <xdr:row>31</xdr:row>
      <xdr:rowOff>133349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798739</xdr:colOff>
      <xdr:row>31</xdr:row>
      <xdr:rowOff>125185</xdr:rowOff>
    </xdr:from>
    <xdr:to>
      <xdr:col>10</xdr:col>
      <xdr:colOff>657225</xdr:colOff>
      <xdr:row>66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6"/>
  <sheetViews>
    <sheetView tabSelected="1" workbookViewId="0">
      <pane ySplit="1" topLeftCell="A5" activePane="bottomLeft" state="frozen"/>
      <selection pane="bottomLeft" activeCell="C28" sqref="C28"/>
    </sheetView>
  </sheetViews>
  <sheetFormatPr defaultColWidth="9.140625" defaultRowHeight="15" x14ac:dyDescent="0.25"/>
  <cols>
    <col min="1" max="1" width="42.5703125" style="4" customWidth="1"/>
    <col min="2" max="2" width="22" style="4" customWidth="1"/>
    <col min="3" max="4" width="12" style="4" customWidth="1"/>
    <col min="5" max="6" width="20" style="4" customWidth="1"/>
    <col min="7" max="7" width="26.28515625" style="4" customWidth="1"/>
    <col min="8" max="8" width="25.7109375" style="4" customWidth="1"/>
    <col min="9" max="10" width="22" style="4" customWidth="1"/>
    <col min="11" max="11" width="29.7109375" style="4" customWidth="1"/>
    <col min="12" max="12" width="36" style="4" customWidth="1"/>
    <col min="13" max="13" width="23.28515625" style="4" customWidth="1"/>
    <col min="14" max="14" width="14" style="4" customWidth="1"/>
    <col min="15" max="15" width="27.140625" style="4" customWidth="1"/>
    <col min="16" max="19" width="9.140625" style="4" customWidth="1"/>
    <col min="20" max="16384" width="9.140625" style="4"/>
  </cols>
  <sheetData>
    <row r="1" spans="1:15" ht="60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77</v>
      </c>
      <c r="F1" s="3" t="s">
        <v>78</v>
      </c>
      <c r="G1" s="3" t="s">
        <v>79</v>
      </c>
      <c r="H1" s="3" t="s">
        <v>80</v>
      </c>
      <c r="I1" s="3" t="s">
        <v>79</v>
      </c>
      <c r="J1" s="3" t="s">
        <v>80</v>
      </c>
      <c r="K1" s="7" t="s">
        <v>85</v>
      </c>
      <c r="L1" s="9" t="s">
        <v>86</v>
      </c>
      <c r="M1" s="10" t="s">
        <v>4</v>
      </c>
      <c r="N1" s="6" t="s">
        <v>5</v>
      </c>
      <c r="O1" s="3" t="s">
        <v>81</v>
      </c>
    </row>
    <row r="2" spans="1:15" x14ac:dyDescent="0.25">
      <c r="A2" s="4">
        <v>2010</v>
      </c>
      <c r="B2" s="4">
        <v>18717</v>
      </c>
      <c r="C2" s="4">
        <f t="shared" ref="C2:C12" si="0">A2^2</f>
        <v>4040100</v>
      </c>
      <c r="D2" s="4">
        <f t="shared" ref="D2:D12" si="1">A2*B2</f>
        <v>37621170</v>
      </c>
      <c r="E2" s="4">
        <f t="shared" ref="E2:E12" si="2">B2-$B$2</f>
        <v>0</v>
      </c>
      <c r="G2" s="1">
        <f t="shared" ref="G2:G12" si="3">B2/$B$2*100</f>
        <v>100</v>
      </c>
      <c r="H2" s="1"/>
      <c r="I2" s="1">
        <f t="shared" ref="I2:I12" si="4">(B2-$B$2)/$B$2*100</f>
        <v>0</v>
      </c>
      <c r="J2" s="1"/>
      <c r="K2">
        <f t="shared" ref="K2:K12" si="5">(B2-B$2)/(COUNT($A$2:$A$12)-1)</f>
        <v>0</v>
      </c>
      <c r="L2" s="8">
        <f t="shared" ref="L2:L12" si="6">POWER(B2/B$2,1/COUNT($A$2:$A$12))</f>
        <v>1</v>
      </c>
      <c r="M2" s="1">
        <f t="shared" ref="M2:M12" si="7">$B$21 + $B$20*A2</f>
        <v>18759.909090909117</v>
      </c>
      <c r="N2" s="1">
        <f t="shared" ref="N2:N12" si="8">B2-M2</f>
        <v>-42.909090909117367</v>
      </c>
      <c r="O2" s="1">
        <f t="shared" ref="O2:O12" si="9">N2^2</f>
        <v>1841.1900826468986</v>
      </c>
    </row>
    <row r="3" spans="1:15" x14ac:dyDescent="0.25">
      <c r="A3" s="4">
        <v>2011</v>
      </c>
      <c r="B3" s="4">
        <v>18715</v>
      </c>
      <c r="C3" s="4">
        <f t="shared" si="0"/>
        <v>4044121</v>
      </c>
      <c r="D3" s="4">
        <f t="shared" si="1"/>
        <v>37635865</v>
      </c>
      <c r="E3" s="4">
        <f t="shared" si="2"/>
        <v>-2</v>
      </c>
      <c r="F3" s="4">
        <f t="shared" ref="F3:F12" si="10">B3-B2</f>
        <v>-2</v>
      </c>
      <c r="G3" s="1">
        <f t="shared" si="3"/>
        <v>99.989314526900671</v>
      </c>
      <c r="H3" s="1">
        <f t="shared" ref="H3:H12" si="11">B3/B2*100</f>
        <v>99.989314526900671</v>
      </c>
      <c r="I3" s="1">
        <f t="shared" si="4"/>
        <v>-1.0685473099321472E-2</v>
      </c>
      <c r="J3" s="1">
        <f t="shared" ref="J3:J12" si="12">(B3-B2)/B2*100</f>
        <v>-1.0685473099321472E-2</v>
      </c>
      <c r="K3">
        <f t="shared" si="5"/>
        <v>-0.2</v>
      </c>
      <c r="L3" s="8">
        <f t="shared" si="6"/>
        <v>0.99999028546169855</v>
      </c>
      <c r="M3" s="1">
        <f t="shared" si="7"/>
        <v>18645.890909090929</v>
      </c>
      <c r="N3" s="1">
        <f t="shared" si="8"/>
        <v>69.109090909070801</v>
      </c>
      <c r="O3" s="1">
        <f t="shared" si="9"/>
        <v>4776.0664462782124</v>
      </c>
    </row>
    <row r="4" spans="1:15" x14ac:dyDescent="0.25">
      <c r="A4" s="4">
        <v>2012</v>
      </c>
      <c r="B4" s="4">
        <v>18458</v>
      </c>
      <c r="C4" s="4">
        <f t="shared" si="0"/>
        <v>4048144</v>
      </c>
      <c r="D4" s="4">
        <f t="shared" si="1"/>
        <v>37137496</v>
      </c>
      <c r="E4" s="4">
        <f t="shared" si="2"/>
        <v>-259</v>
      </c>
      <c r="F4" s="4">
        <f t="shared" si="10"/>
        <v>-257</v>
      </c>
      <c r="G4" s="1">
        <f t="shared" si="3"/>
        <v>98.616231233637876</v>
      </c>
      <c r="H4" s="1">
        <f t="shared" si="11"/>
        <v>98.626769970611804</v>
      </c>
      <c r="I4" s="1">
        <f t="shared" si="4"/>
        <v>-1.3837687663621308</v>
      </c>
      <c r="J4" s="1">
        <f t="shared" si="12"/>
        <v>-1.3732300293881914</v>
      </c>
      <c r="K4">
        <f t="shared" si="5"/>
        <v>-25.9</v>
      </c>
      <c r="L4" s="8">
        <f t="shared" si="6"/>
        <v>0.99873404554696465</v>
      </c>
      <c r="M4" s="1">
        <f t="shared" si="7"/>
        <v>18531.872727272741</v>
      </c>
      <c r="N4" s="1">
        <f t="shared" si="8"/>
        <v>-73.872727272741031</v>
      </c>
      <c r="O4" s="1">
        <f t="shared" si="9"/>
        <v>5457.1798347127769</v>
      </c>
    </row>
    <row r="5" spans="1:15" x14ac:dyDescent="0.25">
      <c r="A5" s="4">
        <v>2013</v>
      </c>
      <c r="B5" s="4">
        <v>18481</v>
      </c>
      <c r="C5" s="4">
        <f t="shared" si="0"/>
        <v>4052169</v>
      </c>
      <c r="D5" s="4">
        <f t="shared" si="1"/>
        <v>37202253</v>
      </c>
      <c r="E5" s="4">
        <f t="shared" si="2"/>
        <v>-236</v>
      </c>
      <c r="F5" s="4">
        <f t="shared" si="10"/>
        <v>23</v>
      </c>
      <c r="G5" s="1">
        <f t="shared" si="3"/>
        <v>98.739114174280061</v>
      </c>
      <c r="H5" s="1">
        <f t="shared" si="11"/>
        <v>100.12460721638314</v>
      </c>
      <c r="I5" s="1">
        <f t="shared" si="4"/>
        <v>-1.2608858257199338</v>
      </c>
      <c r="J5" s="1">
        <f t="shared" si="12"/>
        <v>0.12460721638314011</v>
      </c>
      <c r="K5">
        <f t="shared" si="5"/>
        <v>-23.6</v>
      </c>
      <c r="L5" s="8">
        <f t="shared" si="6"/>
        <v>0.99884711739917331</v>
      </c>
      <c r="M5" s="1">
        <f t="shared" si="7"/>
        <v>18417.854545454553</v>
      </c>
      <c r="N5" s="1">
        <f t="shared" si="8"/>
        <v>63.145454545447137</v>
      </c>
      <c r="O5" s="1">
        <f t="shared" si="9"/>
        <v>3987.3484297511304</v>
      </c>
    </row>
    <row r="6" spans="1:15" x14ac:dyDescent="0.25">
      <c r="A6" s="4">
        <v>2014</v>
      </c>
      <c r="B6" s="4">
        <v>18281</v>
      </c>
      <c r="C6" s="4">
        <f t="shared" si="0"/>
        <v>4056196</v>
      </c>
      <c r="D6" s="4">
        <f t="shared" si="1"/>
        <v>36817934</v>
      </c>
      <c r="E6" s="4">
        <f t="shared" si="2"/>
        <v>-436</v>
      </c>
      <c r="F6" s="4">
        <f t="shared" si="10"/>
        <v>-200</v>
      </c>
      <c r="G6" s="1">
        <f t="shared" si="3"/>
        <v>97.670566864347919</v>
      </c>
      <c r="H6" s="1">
        <f t="shared" si="11"/>
        <v>98.917807477950319</v>
      </c>
      <c r="I6" s="1">
        <f t="shared" si="4"/>
        <v>-2.329433135652081</v>
      </c>
      <c r="J6" s="1">
        <f t="shared" si="12"/>
        <v>-1.0821925220496726</v>
      </c>
      <c r="K6">
        <f t="shared" si="5"/>
        <v>-43.6</v>
      </c>
      <c r="L6" s="8">
        <f t="shared" si="6"/>
        <v>0.99785957283623328</v>
      </c>
      <c r="M6" s="1">
        <f t="shared" si="7"/>
        <v>18303.836363636394</v>
      </c>
      <c r="N6" s="1">
        <f t="shared" si="8"/>
        <v>-22.836363636393799</v>
      </c>
      <c r="O6" s="1">
        <f t="shared" si="9"/>
        <v>521.49950413360898</v>
      </c>
    </row>
    <row r="7" spans="1:15" x14ac:dyDescent="0.25">
      <c r="A7" s="4">
        <v>2015</v>
      </c>
      <c r="B7" s="4">
        <v>18250</v>
      </c>
      <c r="C7" s="4">
        <f t="shared" si="0"/>
        <v>4060225</v>
      </c>
      <c r="D7" s="4">
        <f t="shared" si="1"/>
        <v>36773750</v>
      </c>
      <c r="E7" s="4">
        <f t="shared" si="2"/>
        <v>-467</v>
      </c>
      <c r="F7" s="4">
        <f t="shared" si="10"/>
        <v>-31</v>
      </c>
      <c r="G7" s="1">
        <f t="shared" si="3"/>
        <v>97.504942031308445</v>
      </c>
      <c r="H7" s="1">
        <f t="shared" si="11"/>
        <v>99.830425031453416</v>
      </c>
      <c r="I7" s="1">
        <f t="shared" si="4"/>
        <v>-2.4950579686915639</v>
      </c>
      <c r="J7" s="1">
        <f t="shared" si="12"/>
        <v>-0.16957496854657841</v>
      </c>
      <c r="K7">
        <f t="shared" si="5"/>
        <v>-46.7</v>
      </c>
      <c r="L7" s="8">
        <f t="shared" si="6"/>
        <v>0.99770562504130733</v>
      </c>
      <c r="M7" s="1">
        <f t="shared" si="7"/>
        <v>18189.818181818206</v>
      </c>
      <c r="N7" s="1">
        <f t="shared" si="8"/>
        <v>60.18181818179437</v>
      </c>
      <c r="O7" s="1">
        <f t="shared" si="9"/>
        <v>3621.8512396665556</v>
      </c>
    </row>
    <row r="8" spans="1:15" x14ac:dyDescent="0.25">
      <c r="A8" s="4">
        <v>2016</v>
      </c>
      <c r="B8" s="4">
        <v>17990</v>
      </c>
      <c r="C8" s="4">
        <f t="shared" si="0"/>
        <v>4064256</v>
      </c>
      <c r="D8" s="4">
        <f t="shared" si="1"/>
        <v>36267840</v>
      </c>
      <c r="E8" s="4">
        <f t="shared" si="2"/>
        <v>-727</v>
      </c>
      <c r="F8" s="4">
        <f t="shared" si="10"/>
        <v>-260</v>
      </c>
      <c r="G8" s="1">
        <f t="shared" si="3"/>
        <v>96.115830528396643</v>
      </c>
      <c r="H8" s="1">
        <f t="shared" si="11"/>
        <v>98.575342465753423</v>
      </c>
      <c r="I8" s="1">
        <f t="shared" si="4"/>
        <v>-3.8841694716033555</v>
      </c>
      <c r="J8" s="1">
        <f t="shared" si="12"/>
        <v>-1.4246575342465753</v>
      </c>
      <c r="K8">
        <f t="shared" si="5"/>
        <v>-72.7</v>
      </c>
      <c r="L8" s="8">
        <f t="shared" si="6"/>
        <v>0.99640500897888007</v>
      </c>
      <c r="M8" s="1">
        <f t="shared" si="7"/>
        <v>18075.800000000017</v>
      </c>
      <c r="N8" s="1">
        <f t="shared" si="8"/>
        <v>-85.800000000017462</v>
      </c>
      <c r="O8" s="1">
        <f t="shared" si="9"/>
        <v>7361.6400000029962</v>
      </c>
    </row>
    <row r="9" spans="1:15" x14ac:dyDescent="0.25">
      <c r="A9" s="4">
        <v>2017</v>
      </c>
      <c r="B9" s="4">
        <v>18017</v>
      </c>
      <c r="C9" s="4">
        <f t="shared" si="0"/>
        <v>4068289</v>
      </c>
      <c r="D9" s="4">
        <f t="shared" si="1"/>
        <v>36340289</v>
      </c>
      <c r="E9" s="4">
        <f t="shared" si="2"/>
        <v>-700</v>
      </c>
      <c r="F9" s="4">
        <f t="shared" si="10"/>
        <v>27</v>
      </c>
      <c r="G9" s="1">
        <f t="shared" si="3"/>
        <v>96.260084415237486</v>
      </c>
      <c r="H9" s="1">
        <f t="shared" si="11"/>
        <v>100.15008337965537</v>
      </c>
      <c r="I9" s="1">
        <f t="shared" si="4"/>
        <v>-3.7399155847625156</v>
      </c>
      <c r="J9" s="1">
        <f t="shared" si="12"/>
        <v>0.15008337965536411</v>
      </c>
      <c r="K9">
        <f t="shared" si="5"/>
        <v>-70</v>
      </c>
      <c r="L9" s="8">
        <f t="shared" si="6"/>
        <v>0.99654086526088204</v>
      </c>
      <c r="M9" s="1">
        <f t="shared" si="7"/>
        <v>17961.781818181829</v>
      </c>
      <c r="N9" s="1">
        <f t="shared" si="8"/>
        <v>55.218181818170706</v>
      </c>
      <c r="O9" s="1">
        <f t="shared" si="9"/>
        <v>3049.0476033045579</v>
      </c>
    </row>
    <row r="10" spans="1:15" x14ac:dyDescent="0.25">
      <c r="A10" s="4">
        <v>2018</v>
      </c>
      <c r="B10" s="4">
        <v>17890</v>
      </c>
      <c r="C10" s="4">
        <f t="shared" si="0"/>
        <v>4072324</v>
      </c>
      <c r="D10" s="4">
        <f t="shared" si="1"/>
        <v>36102020</v>
      </c>
      <c r="E10" s="4">
        <f t="shared" si="2"/>
        <v>-827</v>
      </c>
      <c r="F10" s="4">
        <f t="shared" si="10"/>
        <v>-127</v>
      </c>
      <c r="G10" s="1">
        <f t="shared" si="3"/>
        <v>95.581556873430571</v>
      </c>
      <c r="H10" s="1">
        <f t="shared" si="11"/>
        <v>99.295110173724822</v>
      </c>
      <c r="I10" s="1">
        <f t="shared" si="4"/>
        <v>-4.4184431265694286</v>
      </c>
      <c r="J10" s="1">
        <f t="shared" si="12"/>
        <v>-0.70488982627518448</v>
      </c>
      <c r="K10">
        <f t="shared" si="5"/>
        <v>-82.7</v>
      </c>
      <c r="L10" s="8">
        <f t="shared" si="6"/>
        <v>0.99590021766880266</v>
      </c>
      <c r="M10" s="1">
        <f t="shared" si="7"/>
        <v>17847.763636363641</v>
      </c>
      <c r="N10" s="1">
        <f t="shared" si="8"/>
        <v>42.236363636358874</v>
      </c>
      <c r="O10" s="1">
        <f t="shared" si="9"/>
        <v>1783.9104132227383</v>
      </c>
    </row>
    <row r="11" spans="1:15" x14ac:dyDescent="0.25">
      <c r="A11" s="4">
        <v>2019</v>
      </c>
      <c r="B11" s="4">
        <v>17619</v>
      </c>
      <c r="C11" s="4">
        <f t="shared" si="0"/>
        <v>4076361</v>
      </c>
      <c r="D11" s="4">
        <f t="shared" si="1"/>
        <v>35572761</v>
      </c>
      <c r="E11" s="4">
        <f t="shared" si="2"/>
        <v>-1098</v>
      </c>
      <c r="F11" s="4">
        <f t="shared" si="10"/>
        <v>-271</v>
      </c>
      <c r="G11" s="1">
        <f t="shared" si="3"/>
        <v>94.133675268472516</v>
      </c>
      <c r="H11" s="1">
        <f t="shared" si="11"/>
        <v>98.485187255449972</v>
      </c>
      <c r="I11" s="1">
        <f t="shared" si="4"/>
        <v>-5.866324731527488</v>
      </c>
      <c r="J11" s="1">
        <f t="shared" si="12"/>
        <v>-1.5148127445500279</v>
      </c>
      <c r="K11">
        <f t="shared" si="5"/>
        <v>-109.8</v>
      </c>
      <c r="L11" s="8">
        <f t="shared" si="6"/>
        <v>0.99451922576770291</v>
      </c>
      <c r="M11" s="1">
        <f t="shared" si="7"/>
        <v>17733.745454545482</v>
      </c>
      <c r="N11" s="1">
        <f t="shared" si="8"/>
        <v>-114.74545454548206</v>
      </c>
      <c r="O11" s="1">
        <f t="shared" si="9"/>
        <v>13166.51933884929</v>
      </c>
    </row>
    <row r="12" spans="1:15" x14ac:dyDescent="0.25">
      <c r="A12" s="4">
        <v>2020</v>
      </c>
      <c r="B12" s="4">
        <v>17670</v>
      </c>
      <c r="C12" s="4">
        <f t="shared" si="0"/>
        <v>4080400</v>
      </c>
      <c r="D12" s="4">
        <f t="shared" si="1"/>
        <v>35693400</v>
      </c>
      <c r="E12" s="4">
        <f t="shared" si="2"/>
        <v>-1047</v>
      </c>
      <c r="F12" s="4">
        <f t="shared" si="10"/>
        <v>51</v>
      </c>
      <c r="G12" s="1">
        <f t="shared" si="3"/>
        <v>94.406154832505209</v>
      </c>
      <c r="H12" s="1">
        <f t="shared" si="11"/>
        <v>100.28946024178444</v>
      </c>
      <c r="I12" s="1">
        <f t="shared" si="4"/>
        <v>-5.5938451674947913</v>
      </c>
      <c r="J12" s="1">
        <f t="shared" si="12"/>
        <v>0.28946024178443724</v>
      </c>
      <c r="K12">
        <f t="shared" si="5"/>
        <v>-104.7</v>
      </c>
      <c r="L12" s="8">
        <f t="shared" si="6"/>
        <v>0.99478058550232185</v>
      </c>
      <c r="M12" s="1">
        <f t="shared" si="7"/>
        <v>17619.727272727294</v>
      </c>
      <c r="N12" s="1">
        <f t="shared" si="8"/>
        <v>50.272727272706106</v>
      </c>
      <c r="O12" s="1">
        <f t="shared" si="9"/>
        <v>2527.3471074358881</v>
      </c>
    </row>
    <row r="14" spans="1:15" x14ac:dyDescent="0.25">
      <c r="A14" s="4" t="s">
        <v>6</v>
      </c>
      <c r="B14" s="4">
        <f>COUNT(B2:B12)</f>
        <v>11</v>
      </c>
      <c r="E14" s="4" t="s">
        <v>7</v>
      </c>
    </row>
    <row r="15" spans="1:15" x14ac:dyDescent="0.25">
      <c r="A15" s="4" t="s">
        <v>8</v>
      </c>
      <c r="B15" s="4">
        <f>SUM(A2:A12)</f>
        <v>22165</v>
      </c>
      <c r="E15" s="4" t="s">
        <v>9</v>
      </c>
      <c r="F15" s="4" t="s">
        <v>10</v>
      </c>
      <c r="G15" s="4" t="s">
        <v>11</v>
      </c>
      <c r="H15" s="4" t="s">
        <v>12</v>
      </c>
    </row>
    <row r="16" spans="1:15" x14ac:dyDescent="0.25">
      <c r="A16" s="4" t="s">
        <v>13</v>
      </c>
      <c r="B16" s="4">
        <f>SUM(B2:B12)</f>
        <v>200088</v>
      </c>
      <c r="E16" s="4">
        <v>2021</v>
      </c>
      <c r="F16" s="4">
        <f>$B$21 + $B$20*E16</f>
        <v>17505.709090909106</v>
      </c>
      <c r="G16" s="4">
        <f>F16-$B$24*$B$25</f>
        <v>17340.343493979046</v>
      </c>
      <c r="H16" s="4">
        <f>F16+$B$24*$B$25</f>
        <v>17671.074687839166</v>
      </c>
    </row>
    <row r="17" spans="1:8" x14ac:dyDescent="0.25">
      <c r="A17" s="4" t="s">
        <v>14</v>
      </c>
      <c r="B17" s="4">
        <f>SUM(C2:C12)</f>
        <v>44662585</v>
      </c>
      <c r="E17" s="4">
        <v>2022</v>
      </c>
      <c r="F17" s="4">
        <f>$B$21 + $B$20*E17</f>
        <v>17391.690909090918</v>
      </c>
      <c r="G17" s="4">
        <f>F17-$B$24*$B$25</f>
        <v>17226.325312160858</v>
      </c>
      <c r="H17" s="4">
        <f>F17+$B$24*$B$25</f>
        <v>17557.056506020977</v>
      </c>
    </row>
    <row r="18" spans="1:8" x14ac:dyDescent="0.25">
      <c r="A18" s="4" t="s">
        <v>15</v>
      </c>
      <c r="B18" s="4">
        <f>SUM(D2:D12)</f>
        <v>403164778</v>
      </c>
    </row>
    <row r="20" spans="1:8" x14ac:dyDescent="0.25">
      <c r="A20" s="4" t="s">
        <v>83</v>
      </c>
      <c r="B20" s="1">
        <f>(B14*B18 - B15*B16)/(B14*B17 - B15^2)</f>
        <v>-114.01818181818182</v>
      </c>
    </row>
    <row r="21" spans="1:8" x14ac:dyDescent="0.25">
      <c r="A21" s="4" t="s">
        <v>82</v>
      </c>
      <c r="B21" s="1">
        <f>(B16 - B20*B15)/B14</f>
        <v>247936.45454545456</v>
      </c>
    </row>
    <row r="22" spans="1:8" x14ac:dyDescent="0.25">
      <c r="B22" s="1"/>
    </row>
    <row r="23" spans="1:8" x14ac:dyDescent="0.25">
      <c r="A23" s="4" t="s">
        <v>16</v>
      </c>
      <c r="B23" s="1">
        <f>SUM(O2:O12)</f>
        <v>48093.600000004655</v>
      </c>
    </row>
    <row r="24" spans="1:8" x14ac:dyDescent="0.25">
      <c r="A24" s="4" t="s">
        <v>17</v>
      </c>
      <c r="B24" s="1">
        <f>SQRT(B23/(B14-2))</f>
        <v>73.100843588387207</v>
      </c>
    </row>
    <row r="25" spans="1:8" x14ac:dyDescent="0.25">
      <c r="A25" s="4" t="s">
        <v>18</v>
      </c>
      <c r="B25" s="1">
        <f>_xlfn.T.INV.2T(B26, B14-2)</f>
        <v>2.2621571627982053</v>
      </c>
    </row>
    <row r="26" spans="1:8" x14ac:dyDescent="0.25">
      <c r="A26" s="4" t="s">
        <v>19</v>
      </c>
      <c r="B26" s="1">
        <v>0.05</v>
      </c>
    </row>
    <row r="27" spans="1:8" x14ac:dyDescent="0.25">
      <c r="B27" s="1"/>
    </row>
    <row r="28" spans="1:8" x14ac:dyDescent="0.25">
      <c r="A28" s="4" t="s">
        <v>20</v>
      </c>
      <c r="B28" s="1">
        <f>AVERAGE(B2:B12)</f>
        <v>18189.81818181818</v>
      </c>
    </row>
    <row r="29" spans="1:8" x14ac:dyDescent="0.25">
      <c r="A29" s="4" t="s">
        <v>87</v>
      </c>
      <c r="B29" s="1">
        <f>(B12-B2)/(B14-1)</f>
        <v>-104.7</v>
      </c>
    </row>
    <row r="30" spans="1:8" x14ac:dyDescent="0.25">
      <c r="A30" s="4" t="s">
        <v>84</v>
      </c>
      <c r="B30" s="1">
        <f>(B12/B2)^(1/B14)*100</f>
        <v>99.478058550232191</v>
      </c>
    </row>
    <row r="31" spans="1:8" x14ac:dyDescent="0.25">
      <c r="A31" s="4" t="s">
        <v>21</v>
      </c>
      <c r="B31" s="1">
        <f>B30-100</f>
        <v>-0.52194144976780876</v>
      </c>
    </row>
    <row r="32" spans="1:8" x14ac:dyDescent="0.25">
      <c r="B32" s="1"/>
    </row>
    <row r="33" spans="1:2" x14ac:dyDescent="0.25">
      <c r="A33" s="4" t="s">
        <v>22</v>
      </c>
      <c r="B33" s="1">
        <f>MAX(B2:B12)-MIN(B2:B12)</f>
        <v>1098</v>
      </c>
    </row>
    <row r="34" spans="1:2" x14ac:dyDescent="0.25">
      <c r="A34" s="4" t="s">
        <v>23</v>
      </c>
      <c r="B34" s="1">
        <f>_xlfn.STDEV.P(B2:B12)/B28*100</f>
        <v>2.015248578744679</v>
      </c>
    </row>
    <row r="35" spans="1:2" x14ac:dyDescent="0.25">
      <c r="B35" s="1"/>
    </row>
    <row r="36" spans="1:2" x14ac:dyDescent="0.25">
      <c r="B36" s="1"/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0"/>
  <sheetViews>
    <sheetView zoomScale="85" zoomScaleNormal="85" workbookViewId="0">
      <selection activeCell="D27" sqref="D27"/>
    </sheetView>
  </sheetViews>
  <sheetFormatPr defaultColWidth="9.140625" defaultRowHeight="15" x14ac:dyDescent="0.25"/>
  <cols>
    <col min="1" max="1" width="7.85546875" style="4" customWidth="1"/>
    <col min="2" max="2" width="30.42578125" style="4" customWidth="1"/>
    <col min="3" max="3" width="26.28515625" style="4" customWidth="1"/>
    <col min="4" max="4" width="42.7109375" style="4" customWidth="1"/>
    <col min="5" max="5" width="30.140625" style="4" customWidth="1"/>
    <col min="6" max="6" width="44.7109375" style="4" customWidth="1"/>
    <col min="7" max="7" width="44" style="4" customWidth="1"/>
    <col min="8" max="8" width="30.85546875" style="4" customWidth="1"/>
    <col min="9" max="9" width="38.5703125" style="4" customWidth="1"/>
    <col min="10" max="11" width="29.7109375" style="4" customWidth="1"/>
    <col min="12" max="12" width="34.5703125" style="4" customWidth="1"/>
    <col min="13" max="13" width="19.42578125" style="4" customWidth="1"/>
    <col min="14" max="14" width="53.140625" style="4" customWidth="1"/>
    <col min="15" max="15" width="27.42578125" style="4" customWidth="1"/>
    <col min="16" max="16384" width="9.140625" style="4"/>
  </cols>
  <sheetData>
    <row r="1" spans="1:15" x14ac:dyDescent="0.25">
      <c r="A1" s="5" t="s">
        <v>24</v>
      </c>
      <c r="B1" s="5" t="s">
        <v>1</v>
      </c>
      <c r="C1" s="5" t="s">
        <v>25</v>
      </c>
      <c r="D1" s="5" t="s">
        <v>26</v>
      </c>
      <c r="E1" s="5" t="s">
        <v>27</v>
      </c>
      <c r="F1" s="5" t="s">
        <v>28</v>
      </c>
      <c r="G1" s="5" t="s">
        <v>29</v>
      </c>
      <c r="H1" s="5" t="s">
        <v>30</v>
      </c>
      <c r="I1" s="5" t="s">
        <v>31</v>
      </c>
      <c r="J1" s="5" t="s">
        <v>32</v>
      </c>
      <c r="K1" s="5" t="s">
        <v>33</v>
      </c>
      <c r="L1" s="5" t="s">
        <v>34</v>
      </c>
      <c r="M1" s="5" t="s">
        <v>35</v>
      </c>
      <c r="N1" s="5" t="s">
        <v>36</v>
      </c>
      <c r="O1" s="5" t="s">
        <v>37</v>
      </c>
    </row>
    <row r="2" spans="1:15" x14ac:dyDescent="0.25">
      <c r="A2" s="5">
        <v>2010</v>
      </c>
      <c r="B2" s="5">
        <v>18717</v>
      </c>
      <c r="C2" s="5">
        <v>1</v>
      </c>
      <c r="D2" s="5">
        <f t="shared" ref="D2:D12" si="0">C2^2</f>
        <v>1</v>
      </c>
      <c r="E2" s="5">
        <f t="shared" ref="E2:E12" si="1">C2*B2</f>
        <v>18717</v>
      </c>
      <c r="F2" s="5">
        <f t="shared" ref="F2:F12" si="2">B2-$B$2</f>
        <v>0</v>
      </c>
      <c r="G2" s="2"/>
      <c r="H2" s="2">
        <f t="shared" ref="H2:H12" si="3">B2/$B$2*100</f>
        <v>100</v>
      </c>
      <c r="I2" s="2"/>
      <c r="J2" s="2">
        <f t="shared" ref="J2:J12" si="4">(B2-$B$2)/$B$2*100</f>
        <v>0</v>
      </c>
      <c r="K2" s="2"/>
      <c r="L2" s="2">
        <f t="shared" ref="L2:L12" si="5">$C$20 + $C$19*C2</f>
        <v>18759.909090909092</v>
      </c>
      <c r="M2" s="2">
        <f t="shared" ref="M2:M12" si="6">B2-L2</f>
        <v>-42.909090909091901</v>
      </c>
      <c r="N2" s="2">
        <f t="shared" ref="N2:N12" si="7">M2^2</f>
        <v>1841.1900826447134</v>
      </c>
      <c r="O2" s="5"/>
    </row>
    <row r="3" spans="1:15" x14ac:dyDescent="0.25">
      <c r="A3" s="5">
        <v>2011</v>
      </c>
      <c r="B3" s="5">
        <v>18715</v>
      </c>
      <c r="C3" s="5">
        <v>2</v>
      </c>
      <c r="D3" s="5">
        <f t="shared" si="0"/>
        <v>4</v>
      </c>
      <c r="E3" s="5">
        <f t="shared" si="1"/>
        <v>37430</v>
      </c>
      <c r="F3" s="5">
        <f t="shared" si="2"/>
        <v>-2</v>
      </c>
      <c r="G3" s="2">
        <f t="shared" ref="G3:G12" si="8">B3-B2</f>
        <v>-2</v>
      </c>
      <c r="H3" s="2">
        <f t="shared" si="3"/>
        <v>99.989314526900671</v>
      </c>
      <c r="I3" s="2">
        <f t="shared" ref="I3:I12" si="9">B3/B2*100</f>
        <v>99.989314526900671</v>
      </c>
      <c r="J3" s="2">
        <f t="shared" si="4"/>
        <v>-1.0685473099321472E-2</v>
      </c>
      <c r="K3" s="2">
        <f t="shared" ref="K3:K12" si="10">(B3-B2)/B2*100</f>
        <v>-1.0685473099321472E-2</v>
      </c>
      <c r="L3" s="2">
        <f t="shared" si="5"/>
        <v>18645.890909090907</v>
      </c>
      <c r="M3" s="2">
        <f t="shared" si="6"/>
        <v>69.109090909092629</v>
      </c>
      <c r="N3" s="2">
        <f t="shared" si="7"/>
        <v>4776.0664462812292</v>
      </c>
      <c r="O3" s="5">
        <f t="shared" ref="O3:O12" si="11">B3/B2</f>
        <v>0.99989314526900674</v>
      </c>
    </row>
    <row r="4" spans="1:15" x14ac:dyDescent="0.25">
      <c r="A4" s="5">
        <v>2012</v>
      </c>
      <c r="B4" s="5">
        <v>18458</v>
      </c>
      <c r="C4" s="5">
        <v>3</v>
      </c>
      <c r="D4" s="5">
        <f t="shared" si="0"/>
        <v>9</v>
      </c>
      <c r="E4" s="5">
        <f t="shared" si="1"/>
        <v>55374</v>
      </c>
      <c r="F4" s="5">
        <f t="shared" si="2"/>
        <v>-259</v>
      </c>
      <c r="G4" s="2">
        <f t="shared" si="8"/>
        <v>-257</v>
      </c>
      <c r="H4" s="2">
        <f t="shared" si="3"/>
        <v>98.616231233637876</v>
      </c>
      <c r="I4" s="2">
        <f t="shared" si="9"/>
        <v>98.626769970611804</v>
      </c>
      <c r="J4" s="2">
        <f t="shared" si="4"/>
        <v>-1.3837687663621308</v>
      </c>
      <c r="K4" s="2">
        <f t="shared" si="10"/>
        <v>-1.3732300293881914</v>
      </c>
      <c r="L4" s="2">
        <f t="shared" si="5"/>
        <v>18531.872727272726</v>
      </c>
      <c r="M4" s="2">
        <f t="shared" si="6"/>
        <v>-73.872727272726479</v>
      </c>
      <c r="N4" s="2">
        <f t="shared" si="7"/>
        <v>5457.1798347106269</v>
      </c>
      <c r="O4" s="5">
        <f t="shared" si="11"/>
        <v>0.98626769970611805</v>
      </c>
    </row>
    <row r="5" spans="1:15" x14ac:dyDescent="0.25">
      <c r="A5" s="5">
        <v>2013</v>
      </c>
      <c r="B5" s="5">
        <v>18481</v>
      </c>
      <c r="C5" s="5">
        <v>4</v>
      </c>
      <c r="D5" s="5">
        <f t="shared" si="0"/>
        <v>16</v>
      </c>
      <c r="E5" s="5">
        <f t="shared" si="1"/>
        <v>73924</v>
      </c>
      <c r="F5" s="5">
        <f t="shared" si="2"/>
        <v>-236</v>
      </c>
      <c r="G5" s="2">
        <f t="shared" si="8"/>
        <v>23</v>
      </c>
      <c r="H5" s="2">
        <f t="shared" si="3"/>
        <v>98.739114174280061</v>
      </c>
      <c r="I5" s="2">
        <f t="shared" si="9"/>
        <v>100.12460721638314</v>
      </c>
      <c r="J5" s="2">
        <f t="shared" si="4"/>
        <v>-1.2608858257199338</v>
      </c>
      <c r="K5" s="2">
        <f t="shared" si="10"/>
        <v>0.12460721638314011</v>
      </c>
      <c r="L5" s="2">
        <f t="shared" si="5"/>
        <v>18417.854545454546</v>
      </c>
      <c r="M5" s="2">
        <f t="shared" si="6"/>
        <v>63.145454545454413</v>
      </c>
      <c r="N5" s="2">
        <f t="shared" si="7"/>
        <v>3987.3484297520495</v>
      </c>
      <c r="O5" s="5">
        <f t="shared" si="11"/>
        <v>1.0012460721638314</v>
      </c>
    </row>
    <row r="6" spans="1:15" x14ac:dyDescent="0.25">
      <c r="A6" s="5">
        <v>2014</v>
      </c>
      <c r="B6" s="5">
        <v>18281</v>
      </c>
      <c r="C6" s="5">
        <v>5</v>
      </c>
      <c r="D6" s="5">
        <f t="shared" si="0"/>
        <v>25</v>
      </c>
      <c r="E6" s="5">
        <f t="shared" si="1"/>
        <v>91405</v>
      </c>
      <c r="F6" s="5">
        <f t="shared" si="2"/>
        <v>-436</v>
      </c>
      <c r="G6" s="2">
        <f t="shared" si="8"/>
        <v>-200</v>
      </c>
      <c r="H6" s="2">
        <f t="shared" si="3"/>
        <v>97.670566864347919</v>
      </c>
      <c r="I6" s="2">
        <f t="shared" si="9"/>
        <v>98.917807477950319</v>
      </c>
      <c r="J6" s="2">
        <f t="shared" si="4"/>
        <v>-2.329433135652081</v>
      </c>
      <c r="K6" s="2">
        <f t="shared" si="10"/>
        <v>-1.0821925220496726</v>
      </c>
      <c r="L6" s="2">
        <f t="shared" si="5"/>
        <v>18303.836363636365</v>
      </c>
      <c r="M6" s="2">
        <f t="shared" si="6"/>
        <v>-22.836363636364695</v>
      </c>
      <c r="N6" s="2">
        <f t="shared" si="7"/>
        <v>521.49950413227975</v>
      </c>
      <c r="O6" s="5">
        <f t="shared" si="11"/>
        <v>0.98917807477950326</v>
      </c>
    </row>
    <row r="7" spans="1:15" x14ac:dyDescent="0.25">
      <c r="A7" s="5">
        <v>2015</v>
      </c>
      <c r="B7" s="5">
        <v>18250</v>
      </c>
      <c r="C7" s="5">
        <v>6</v>
      </c>
      <c r="D7" s="5">
        <f t="shared" si="0"/>
        <v>36</v>
      </c>
      <c r="E7" s="5">
        <f t="shared" si="1"/>
        <v>109500</v>
      </c>
      <c r="F7" s="5">
        <f t="shared" si="2"/>
        <v>-467</v>
      </c>
      <c r="G7" s="2">
        <f t="shared" si="8"/>
        <v>-31</v>
      </c>
      <c r="H7" s="2">
        <f t="shared" si="3"/>
        <v>97.504942031308445</v>
      </c>
      <c r="I7" s="2">
        <f t="shared" si="9"/>
        <v>99.830425031453416</v>
      </c>
      <c r="J7" s="2">
        <f t="shared" si="4"/>
        <v>-2.4950579686915639</v>
      </c>
      <c r="K7" s="2">
        <f t="shared" si="10"/>
        <v>-0.16957496854657841</v>
      </c>
      <c r="L7" s="2">
        <f t="shared" si="5"/>
        <v>18189.81818181818</v>
      </c>
      <c r="M7" s="2">
        <f t="shared" si="6"/>
        <v>60.181818181819835</v>
      </c>
      <c r="N7" s="2">
        <f t="shared" si="7"/>
        <v>3621.8512396696206</v>
      </c>
      <c r="O7" s="5">
        <f t="shared" si="11"/>
        <v>0.99830425031453418</v>
      </c>
    </row>
    <row r="8" spans="1:15" x14ac:dyDescent="0.25">
      <c r="A8" s="5">
        <v>2016</v>
      </c>
      <c r="B8" s="5">
        <v>17990</v>
      </c>
      <c r="C8" s="5">
        <v>7</v>
      </c>
      <c r="D8" s="5">
        <f t="shared" si="0"/>
        <v>49</v>
      </c>
      <c r="E8" s="5">
        <f t="shared" si="1"/>
        <v>125930</v>
      </c>
      <c r="F8" s="5">
        <f t="shared" si="2"/>
        <v>-727</v>
      </c>
      <c r="G8" s="2">
        <f t="shared" si="8"/>
        <v>-260</v>
      </c>
      <c r="H8" s="2">
        <f t="shared" si="3"/>
        <v>96.115830528396643</v>
      </c>
      <c r="I8" s="2">
        <f t="shared" si="9"/>
        <v>98.575342465753423</v>
      </c>
      <c r="J8" s="2">
        <f t="shared" si="4"/>
        <v>-3.8841694716033555</v>
      </c>
      <c r="K8" s="2">
        <f t="shared" si="10"/>
        <v>-1.4246575342465753</v>
      </c>
      <c r="L8" s="2">
        <f t="shared" si="5"/>
        <v>18075.8</v>
      </c>
      <c r="M8" s="2">
        <f t="shared" si="6"/>
        <v>-85.799999999999272</v>
      </c>
      <c r="N8" s="2">
        <f t="shared" si="7"/>
        <v>7361.6399999998748</v>
      </c>
      <c r="O8" s="5">
        <f t="shared" si="11"/>
        <v>0.98575342465753424</v>
      </c>
    </row>
    <row r="9" spans="1:15" x14ac:dyDescent="0.25">
      <c r="A9" s="5">
        <v>2017</v>
      </c>
      <c r="B9" s="5">
        <v>18017</v>
      </c>
      <c r="C9" s="5">
        <v>8</v>
      </c>
      <c r="D9" s="5">
        <f t="shared" si="0"/>
        <v>64</v>
      </c>
      <c r="E9" s="5">
        <f t="shared" si="1"/>
        <v>144136</v>
      </c>
      <c r="F9" s="5">
        <f t="shared" si="2"/>
        <v>-700</v>
      </c>
      <c r="G9" s="2">
        <f t="shared" si="8"/>
        <v>27</v>
      </c>
      <c r="H9" s="2">
        <f t="shared" si="3"/>
        <v>96.260084415237486</v>
      </c>
      <c r="I9" s="2">
        <f t="shared" si="9"/>
        <v>100.15008337965537</v>
      </c>
      <c r="J9" s="2">
        <f t="shared" si="4"/>
        <v>-3.7399155847625156</v>
      </c>
      <c r="K9" s="2">
        <f t="shared" si="10"/>
        <v>0.15008337965536411</v>
      </c>
      <c r="L9" s="2">
        <f t="shared" si="5"/>
        <v>17961.781818181818</v>
      </c>
      <c r="M9" s="2">
        <f t="shared" si="6"/>
        <v>55.21818181818162</v>
      </c>
      <c r="N9" s="2">
        <f t="shared" si="7"/>
        <v>3049.047603305763</v>
      </c>
      <c r="O9" s="5">
        <f t="shared" si="11"/>
        <v>1.0015008337965536</v>
      </c>
    </row>
    <row r="10" spans="1:15" x14ac:dyDescent="0.25">
      <c r="A10" s="5">
        <v>2018</v>
      </c>
      <c r="B10" s="5">
        <v>17890</v>
      </c>
      <c r="C10" s="5">
        <v>9</v>
      </c>
      <c r="D10" s="5">
        <f t="shared" si="0"/>
        <v>81</v>
      </c>
      <c r="E10" s="5">
        <f t="shared" si="1"/>
        <v>161010</v>
      </c>
      <c r="F10" s="5">
        <f t="shared" si="2"/>
        <v>-827</v>
      </c>
      <c r="G10" s="2">
        <f t="shared" si="8"/>
        <v>-127</v>
      </c>
      <c r="H10" s="2">
        <f t="shared" si="3"/>
        <v>95.581556873430571</v>
      </c>
      <c r="I10" s="2">
        <f t="shared" si="9"/>
        <v>99.295110173724822</v>
      </c>
      <c r="J10" s="2">
        <f t="shared" si="4"/>
        <v>-4.4184431265694286</v>
      </c>
      <c r="K10" s="2">
        <f t="shared" si="10"/>
        <v>-0.70488982627518448</v>
      </c>
      <c r="L10" s="2">
        <f t="shared" si="5"/>
        <v>17847.763636363637</v>
      </c>
      <c r="M10" s="2">
        <f t="shared" si="6"/>
        <v>42.236363636362512</v>
      </c>
      <c r="N10" s="2">
        <f t="shared" si="7"/>
        <v>1783.9104132230455</v>
      </c>
      <c r="O10" s="5">
        <f t="shared" si="11"/>
        <v>0.99295110173724821</v>
      </c>
    </row>
    <row r="11" spans="1:15" x14ac:dyDescent="0.25">
      <c r="A11" s="5">
        <v>2019</v>
      </c>
      <c r="B11" s="5">
        <v>17619</v>
      </c>
      <c r="C11" s="5">
        <v>10</v>
      </c>
      <c r="D11" s="5">
        <f t="shared" si="0"/>
        <v>100</v>
      </c>
      <c r="E11" s="5">
        <f t="shared" si="1"/>
        <v>176190</v>
      </c>
      <c r="F11" s="5">
        <f t="shared" si="2"/>
        <v>-1098</v>
      </c>
      <c r="G11" s="2">
        <f t="shared" si="8"/>
        <v>-271</v>
      </c>
      <c r="H11" s="2">
        <f t="shared" si="3"/>
        <v>94.133675268472516</v>
      </c>
      <c r="I11" s="2">
        <f t="shared" si="9"/>
        <v>98.485187255449972</v>
      </c>
      <c r="J11" s="2">
        <f t="shared" si="4"/>
        <v>-5.866324731527488</v>
      </c>
      <c r="K11" s="2">
        <f t="shared" si="10"/>
        <v>-1.5148127445500279</v>
      </c>
      <c r="L11" s="2">
        <f t="shared" si="5"/>
        <v>17733.745454545453</v>
      </c>
      <c r="M11" s="2">
        <f t="shared" si="6"/>
        <v>-114.74545454545296</v>
      </c>
      <c r="N11" s="2">
        <f t="shared" si="7"/>
        <v>13166.519338842611</v>
      </c>
      <c r="O11" s="5">
        <f t="shared" si="11"/>
        <v>0.98485187255449969</v>
      </c>
    </row>
    <row r="12" spans="1:15" x14ac:dyDescent="0.25">
      <c r="A12" s="5">
        <v>2020</v>
      </c>
      <c r="B12" s="5">
        <v>17670</v>
      </c>
      <c r="C12" s="5">
        <v>11</v>
      </c>
      <c r="D12" s="5">
        <f t="shared" si="0"/>
        <v>121</v>
      </c>
      <c r="E12" s="5">
        <f t="shared" si="1"/>
        <v>194370</v>
      </c>
      <c r="F12" s="5">
        <f t="shared" si="2"/>
        <v>-1047</v>
      </c>
      <c r="G12" s="2">
        <f t="shared" si="8"/>
        <v>51</v>
      </c>
      <c r="H12" s="2">
        <f t="shared" si="3"/>
        <v>94.406154832505209</v>
      </c>
      <c r="I12" s="2">
        <f t="shared" si="9"/>
        <v>100.28946024178444</v>
      </c>
      <c r="J12" s="2">
        <f t="shared" si="4"/>
        <v>-5.5938451674947913</v>
      </c>
      <c r="K12" s="2">
        <f t="shared" si="10"/>
        <v>0.28946024178443724</v>
      </c>
      <c r="L12" s="2">
        <f t="shared" si="5"/>
        <v>17619.727272727272</v>
      </c>
      <c r="M12" s="2">
        <f t="shared" si="6"/>
        <v>50.272727272727934</v>
      </c>
      <c r="N12" s="2">
        <f t="shared" si="7"/>
        <v>2527.3471074380832</v>
      </c>
      <c r="O12" s="5">
        <f t="shared" si="11"/>
        <v>1.0028946024178444</v>
      </c>
    </row>
    <row r="14" spans="1:15" x14ac:dyDescent="0.25">
      <c r="A14" s="4" t="s">
        <v>38</v>
      </c>
      <c r="C14" s="4">
        <f>SUM(C2:C12)</f>
        <v>66</v>
      </c>
    </row>
    <row r="15" spans="1:15" x14ac:dyDescent="0.25">
      <c r="A15" s="4" t="s">
        <v>39</v>
      </c>
      <c r="C15" s="4">
        <f>SUM(B2:B12)</f>
        <v>200088</v>
      </c>
    </row>
    <row r="16" spans="1:15" x14ac:dyDescent="0.25">
      <c r="A16" s="4" t="s">
        <v>40</v>
      </c>
      <c r="C16" s="4">
        <f>SUM(D2:D12)</f>
        <v>506</v>
      </c>
    </row>
    <row r="17" spans="1:5" x14ac:dyDescent="0.25">
      <c r="A17" s="4" t="s">
        <v>41</v>
      </c>
      <c r="C17" s="4">
        <f>SUM(E2:E12)</f>
        <v>1187986</v>
      </c>
    </row>
    <row r="18" spans="1:5" x14ac:dyDescent="0.25">
      <c r="A18" s="4" t="s">
        <v>42</v>
      </c>
      <c r="C18" s="4">
        <f>COUNT(B2:B12)</f>
        <v>11</v>
      </c>
    </row>
    <row r="19" spans="1:5" x14ac:dyDescent="0.25">
      <c r="A19" s="4" t="s">
        <v>43</v>
      </c>
      <c r="C19" s="4">
        <f>($C$18*$C$17 - $C$14*$C$15)/($C$18*$C$16 - $C$14^2)</f>
        <v>-114.01818181818182</v>
      </c>
      <c r="E19" s="4" t="s">
        <v>44</v>
      </c>
    </row>
    <row r="20" spans="1:5" x14ac:dyDescent="0.25">
      <c r="A20" s="4" t="s">
        <v>45</v>
      </c>
      <c r="B20" s="1"/>
      <c r="C20" s="4">
        <f>($C$15 - $C$19*$C$14)/$C$18</f>
        <v>18873.927272727273</v>
      </c>
      <c r="E20" s="4" t="s">
        <v>46</v>
      </c>
    </row>
    <row r="21" spans="1:5" x14ac:dyDescent="0.25">
      <c r="A21" s="4" t="s">
        <v>47</v>
      </c>
      <c r="B21" s="1"/>
      <c r="C21" s="4">
        <f>AVERAGE(B2:B12)</f>
        <v>18189.81818181818</v>
      </c>
      <c r="E21" s="4" t="s">
        <v>48</v>
      </c>
    </row>
    <row r="22" spans="1:5" x14ac:dyDescent="0.25">
      <c r="A22" s="4" t="s">
        <v>49</v>
      </c>
      <c r="B22" s="1"/>
      <c r="C22" s="4">
        <f>(B12-B2)/($C$18-1)</f>
        <v>-104.7</v>
      </c>
      <c r="E22" s="4" t="s">
        <v>50</v>
      </c>
    </row>
    <row r="23" spans="1:5" x14ac:dyDescent="0.25">
      <c r="A23" s="4" t="s">
        <v>51</v>
      </c>
      <c r="B23" s="1"/>
      <c r="C23" s="4">
        <f>GEOMEAN(O3:O12)*100</f>
        <v>99.426014473032666</v>
      </c>
      <c r="E23" s="4" t="s">
        <v>52</v>
      </c>
    </row>
    <row r="24" spans="1:5" x14ac:dyDescent="0.25">
      <c r="A24" s="4" t="s">
        <v>53</v>
      </c>
      <c r="B24" s="1"/>
      <c r="C24" s="4">
        <f>$C$23 - 100</f>
        <v>-0.57398552696733418</v>
      </c>
      <c r="E24" s="4" t="s">
        <v>54</v>
      </c>
    </row>
    <row r="25" spans="1:5" x14ac:dyDescent="0.25">
      <c r="A25" s="4" t="s">
        <v>22</v>
      </c>
      <c r="B25" s="1" t="e">
        <f>_xlfn.T.INV.2T(B26, B14-2)</f>
        <v>#NUM!</v>
      </c>
      <c r="C25" s="4">
        <f>MAX(B2:B12)-MIN(B2:B12)</f>
        <v>1098</v>
      </c>
      <c r="E25" s="4" t="s">
        <v>55</v>
      </c>
    </row>
    <row r="26" spans="1:5" x14ac:dyDescent="0.25">
      <c r="A26" s="4" t="s">
        <v>56</v>
      </c>
      <c r="B26" s="1"/>
      <c r="C26" s="4">
        <f>_xlfn.STDEV.P(B2:B12)/AVERAGE(B2:B12)*100</f>
        <v>2.015248578744679</v>
      </c>
    </row>
    <row r="27" spans="1:5" x14ac:dyDescent="0.25">
      <c r="A27" s="4" t="s">
        <v>57</v>
      </c>
      <c r="B27" s="1"/>
      <c r="C27" s="4">
        <f>SQRT(SUM(N2:N12)/$C$18)</f>
        <v>66.122200920306994</v>
      </c>
      <c r="E27" s="4" t="s">
        <v>58</v>
      </c>
    </row>
    <row r="28" spans="1:5" x14ac:dyDescent="0.25">
      <c r="A28" s="4" t="s">
        <v>59</v>
      </c>
      <c r="B28" s="1"/>
      <c r="C28" s="4">
        <f>$C$20 + $C$19*($C$18+1)</f>
        <v>17505.709090909091</v>
      </c>
    </row>
    <row r="29" spans="1:5" x14ac:dyDescent="0.25">
      <c r="A29" s="4" t="s">
        <v>60</v>
      </c>
      <c r="B29" s="1"/>
      <c r="C29" s="4">
        <f>$C$20 + $C$19*($C$18+2)</f>
        <v>17391.69090909091</v>
      </c>
      <c r="E29" s="4" t="s">
        <v>61</v>
      </c>
    </row>
    <row r="30" spans="1:5" x14ac:dyDescent="0.25">
      <c r="A30" s="4" t="s">
        <v>62</v>
      </c>
      <c r="B30" s="1"/>
      <c r="C30" s="4">
        <f>$C$28 - $C$27</f>
        <v>17439.586889988783</v>
      </c>
      <c r="E30" s="4" t="s">
        <v>63</v>
      </c>
    </row>
    <row r="31" spans="1:5" x14ac:dyDescent="0.25">
      <c r="A31" s="4" t="s">
        <v>64</v>
      </c>
      <c r="B31" s="1"/>
      <c r="C31" s="4">
        <f>$C$28 + $C$27</f>
        <v>17571.8312918294</v>
      </c>
      <c r="E31" s="4" t="s">
        <v>65</v>
      </c>
    </row>
    <row r="32" spans="1:5" x14ac:dyDescent="0.25">
      <c r="A32" s="4" t="s">
        <v>66</v>
      </c>
      <c r="B32" s="1"/>
      <c r="C32" s="4">
        <f>$C$29 - $C$27</f>
        <v>17325.568708170602</v>
      </c>
      <c r="E32" s="4" t="s">
        <v>67</v>
      </c>
    </row>
    <row r="33" spans="1:5" x14ac:dyDescent="0.25">
      <c r="A33" s="4" t="s">
        <v>68</v>
      </c>
      <c r="B33" s="1"/>
      <c r="C33" s="4">
        <f>$C$29 + $C$27</f>
        <v>17457.813110011219</v>
      </c>
      <c r="E33" s="4" t="s">
        <v>69</v>
      </c>
    </row>
    <row r="34" spans="1:5" x14ac:dyDescent="0.25">
      <c r="B34" s="1" t="e">
        <f>_xlfn.SINGLE(_xlfn.STDEV.P(B2:B12))/B28*100</f>
        <v>#DIV/0!</v>
      </c>
      <c r="E34" s="4" t="s">
        <v>70</v>
      </c>
    </row>
    <row r="35" spans="1:5" x14ac:dyDescent="0.25">
      <c r="B35" s="1"/>
      <c r="E35" s="4" t="s">
        <v>71</v>
      </c>
    </row>
    <row r="36" spans="1:5" x14ac:dyDescent="0.25">
      <c r="B36" s="1"/>
      <c r="E36" s="4" t="s">
        <v>72</v>
      </c>
    </row>
    <row r="37" spans="1:5" x14ac:dyDescent="0.25">
      <c r="E37" s="4" t="s">
        <v>73</v>
      </c>
    </row>
    <row r="38" spans="1:5" x14ac:dyDescent="0.25">
      <c r="E38" s="4" t="s">
        <v>74</v>
      </c>
    </row>
    <row r="39" spans="1:5" x14ac:dyDescent="0.25">
      <c r="E39" s="4" t="s">
        <v>75</v>
      </c>
    </row>
    <row r="40" spans="1:5" x14ac:dyDescent="0.25">
      <c r="E40" s="4" t="s">
        <v>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Part1_fixed</vt:lpstr>
      <vt:lpstr>Data_old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prod ed1ct</cp:lastModifiedBy>
  <dcterms:created xsi:type="dcterms:W3CDTF">2025-12-12T11:53:58Z</dcterms:created>
  <dcterms:modified xsi:type="dcterms:W3CDTF">2025-12-13T07:16:15Z</dcterms:modified>
</cp:coreProperties>
</file>