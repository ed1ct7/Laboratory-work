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ret\fork\Labwork\3 Курс\МДК 02.03\Лабораторная работа 7\"/>
    </mc:Choice>
  </mc:AlternateContent>
  <xr:revisionPtr revIDLastSave="0" documentId="8_{1C85173C-7339-41F6-A3A5-52AD824DD7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аб раб 7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28" i="1"/>
  <c r="B34" i="1" s="1"/>
  <c r="B16" i="1"/>
  <c r="B15" i="1"/>
  <c r="B14" i="1"/>
  <c r="B29" i="1" s="1"/>
  <c r="L12" i="1"/>
  <c r="K12" i="1"/>
  <c r="J12" i="1"/>
  <c r="I12" i="1"/>
  <c r="H12" i="1"/>
  <c r="G12" i="1"/>
  <c r="F12" i="1"/>
  <c r="E12" i="1"/>
  <c r="D12" i="1"/>
  <c r="C12" i="1"/>
  <c r="L11" i="1"/>
  <c r="K11" i="1"/>
  <c r="J11" i="1"/>
  <c r="I11" i="1"/>
  <c r="H11" i="1"/>
  <c r="G11" i="1"/>
  <c r="F11" i="1"/>
  <c r="E11" i="1"/>
  <c r="D11" i="1"/>
  <c r="C11" i="1"/>
  <c r="L10" i="1"/>
  <c r="K10" i="1"/>
  <c r="J10" i="1"/>
  <c r="I10" i="1"/>
  <c r="H10" i="1"/>
  <c r="G10" i="1"/>
  <c r="F10" i="1"/>
  <c r="E10" i="1"/>
  <c r="D10" i="1"/>
  <c r="C10" i="1"/>
  <c r="L9" i="1"/>
  <c r="K9" i="1"/>
  <c r="J9" i="1"/>
  <c r="I9" i="1"/>
  <c r="H9" i="1"/>
  <c r="G9" i="1"/>
  <c r="F9" i="1"/>
  <c r="E9" i="1"/>
  <c r="D9" i="1"/>
  <c r="C9" i="1"/>
  <c r="L8" i="1"/>
  <c r="K8" i="1"/>
  <c r="J8" i="1"/>
  <c r="I8" i="1"/>
  <c r="H8" i="1"/>
  <c r="G8" i="1"/>
  <c r="F8" i="1"/>
  <c r="E8" i="1"/>
  <c r="D8" i="1"/>
  <c r="C8" i="1"/>
  <c r="L7" i="1"/>
  <c r="K7" i="1"/>
  <c r="J7" i="1"/>
  <c r="I7" i="1"/>
  <c r="H7" i="1"/>
  <c r="G7" i="1"/>
  <c r="F7" i="1"/>
  <c r="E7" i="1"/>
  <c r="D7" i="1"/>
  <c r="C7" i="1"/>
  <c r="L6" i="1"/>
  <c r="K6" i="1"/>
  <c r="J6" i="1"/>
  <c r="I6" i="1"/>
  <c r="H6" i="1"/>
  <c r="G6" i="1"/>
  <c r="F6" i="1"/>
  <c r="E6" i="1"/>
  <c r="D6" i="1"/>
  <c r="C6" i="1"/>
  <c r="L5" i="1"/>
  <c r="K5" i="1"/>
  <c r="J5" i="1"/>
  <c r="I5" i="1"/>
  <c r="H5" i="1"/>
  <c r="G5" i="1"/>
  <c r="F5" i="1"/>
  <c r="E5" i="1"/>
  <c r="D5" i="1"/>
  <c r="C5" i="1"/>
  <c r="L4" i="1"/>
  <c r="K4" i="1"/>
  <c r="J4" i="1"/>
  <c r="I4" i="1"/>
  <c r="H4" i="1"/>
  <c r="G4" i="1"/>
  <c r="F4" i="1"/>
  <c r="E4" i="1"/>
  <c r="D4" i="1"/>
  <c r="C4" i="1"/>
  <c r="L3" i="1"/>
  <c r="K3" i="1"/>
  <c r="J3" i="1"/>
  <c r="I3" i="1"/>
  <c r="H3" i="1"/>
  <c r="G3" i="1"/>
  <c r="F3" i="1"/>
  <c r="E3" i="1"/>
  <c r="D3" i="1"/>
  <c r="C3" i="1"/>
  <c r="L2" i="1"/>
  <c r="K2" i="1"/>
  <c r="I2" i="1"/>
  <c r="G2" i="1"/>
  <c r="E2" i="1"/>
  <c r="D2" i="1"/>
  <c r="B18" i="1" s="1"/>
  <c r="C2" i="1"/>
  <c r="B17" i="1" s="1"/>
  <c r="B25" i="1" l="1"/>
  <c r="B30" i="1"/>
  <c r="B31" i="1" s="1"/>
  <c r="B20" i="1"/>
  <c r="B21" i="1" s="1"/>
  <c r="M10" i="1" l="1"/>
  <c r="N10" i="1" s="1"/>
  <c r="O10" i="1" s="1"/>
  <c r="M5" i="1"/>
  <c r="N5" i="1" s="1"/>
  <c r="O5" i="1" s="1"/>
  <c r="M8" i="1"/>
  <c r="N8" i="1" s="1"/>
  <c r="O8" i="1" s="1"/>
  <c r="M3" i="1"/>
  <c r="N3" i="1" s="1"/>
  <c r="O3" i="1" s="1"/>
  <c r="F16" i="1"/>
  <c r="F17" i="1"/>
  <c r="M7" i="1"/>
  <c r="N7" i="1" s="1"/>
  <c r="O7" i="1" s="1"/>
  <c r="M2" i="1"/>
  <c r="N2" i="1" s="1"/>
  <c r="O2" i="1" s="1"/>
  <c r="M12" i="1"/>
  <c r="N12" i="1" s="1"/>
  <c r="O12" i="1" s="1"/>
  <c r="M9" i="1"/>
  <c r="N9" i="1" s="1"/>
  <c r="O9" i="1" s="1"/>
  <c r="M4" i="1"/>
  <c r="N4" i="1" s="1"/>
  <c r="O4" i="1" s="1"/>
  <c r="M11" i="1"/>
  <c r="N11" i="1" s="1"/>
  <c r="O11" i="1" s="1"/>
  <c r="M6" i="1"/>
  <c r="N6" i="1" s="1"/>
  <c r="O6" i="1" s="1"/>
  <c r="B23" i="1" l="1"/>
  <c r="B24" i="1" s="1"/>
  <c r="H17" i="1" s="1"/>
  <c r="H16" i="1"/>
  <c r="G16" i="1" l="1"/>
  <c r="G17" i="1"/>
</calcChain>
</file>

<file path=xl/sharedStrings.xml><?xml version="1.0" encoding="utf-8"?>
<sst xmlns="http://schemas.openxmlformats.org/spreadsheetml/2006/main" count="37" uniqueCount="35">
  <si>
    <t>Годы (xᵢ)</t>
  </si>
  <si>
    <t>Уровень ряда yᵢ, млн руб.</t>
  </si>
  <si>
    <t>xᵢ²</t>
  </si>
  <si>
    <t>xᵢ·yᵢ</t>
  </si>
  <si>
    <t>базовый прирост</t>
  </si>
  <si>
    <t>цепной прирост</t>
  </si>
  <si>
    <t>базовый прирост темп</t>
  </si>
  <si>
    <t>цепной прирост темп</t>
  </si>
  <si>
    <t>средний абсолютный прирост</t>
  </si>
  <si>
    <t>средний абсолютный прирост %</t>
  </si>
  <si>
    <t>Выровненный уровень ŷᵢ</t>
  </si>
  <si>
    <t>Остаток εᵢ = yᵢ−ŷᵢ</t>
  </si>
  <si>
    <t>среднеквадратическое отклонение. точность полученной динамической модели</t>
  </si>
  <si>
    <t>n</t>
  </si>
  <si>
    <t>Прогноз</t>
  </si>
  <si>
    <t>∑xᵢ</t>
  </si>
  <si>
    <t>Год</t>
  </si>
  <si>
    <t>ŷ</t>
  </si>
  <si>
    <t>Нижн. граница (ŷ−σ·tкр)</t>
  </si>
  <si>
    <t>Верхн. граница (ŷ+σ·tкр)</t>
  </si>
  <si>
    <t>∑yᵢ</t>
  </si>
  <si>
    <t>∑xᵢ²</t>
  </si>
  <si>
    <t>∑xᵢyᵢ</t>
  </si>
  <si>
    <t>a₂</t>
  </si>
  <si>
    <t>a₁</t>
  </si>
  <si>
    <t>Средний уровень ряда ȳ</t>
  </si>
  <si>
    <t>Средний абсолютный прирост (обычный)</t>
  </si>
  <si>
    <t>Размах колебаний (амплитуда)</t>
  </si>
  <si>
    <t>Коэф. вариации V, %</t>
  </si>
  <si>
    <t>α</t>
  </si>
  <si>
    <t>Сумма квадратов отклонений</t>
  </si>
  <si>
    <t>σ = Среднеквадратическое отклонение</t>
  </si>
  <si>
    <t>tкр​</t>
  </si>
  <si>
    <t>Средний темп роста</t>
  </si>
  <si>
    <t>Средний темп прироста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</si>
</sst>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Исходный и выровненный динамические ряды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'Лаб раб 7'!$B$1</c:f>
              <c:strCache>
                <c:ptCount val="1"/>
                <c:pt idx="0">
                  <c:v>Уровень ряда yᵢ, млн руб.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'Лаб раб 7'!$A$2:$A$12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'Лаб раб 7'!$B$2:$B$12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09-4F56-9AF1-31076147B463}"/>
            </c:ext>
          </c:extLst>
        </c:ser>
        <c:ser>
          <c:idx val="1"/>
          <c:order val="1"/>
          <c:tx>
            <c:strRef>
              <c:f>'Лаб раб 7'!$M$1</c:f>
              <c:strCache>
                <c:ptCount val="1"/>
                <c:pt idx="0">
                  <c:v>Выровненный уровень ŷᵢ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'Лаб раб 7'!$A$2:$A$12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'Лаб раб 7'!$M$2:$M$12</c:f>
              <c:numCache>
                <c:formatCode>0.00</c:formatCode>
                <c:ptCount val="11"/>
                <c:pt idx="0">
                  <c:v>18759.909090909117</c:v>
                </c:pt>
                <c:pt idx="1">
                  <c:v>18645.890909090929</c:v>
                </c:pt>
                <c:pt idx="2">
                  <c:v>18531.872727272741</c:v>
                </c:pt>
                <c:pt idx="3">
                  <c:v>18417.854545454553</c:v>
                </c:pt>
                <c:pt idx="4">
                  <c:v>18303.836363636394</c:v>
                </c:pt>
                <c:pt idx="5">
                  <c:v>18189.818181818206</c:v>
                </c:pt>
                <c:pt idx="6">
                  <c:v>18075.800000000017</c:v>
                </c:pt>
                <c:pt idx="7">
                  <c:v>17961.781818181829</c:v>
                </c:pt>
                <c:pt idx="8">
                  <c:v>17847.763636363641</c:v>
                </c:pt>
                <c:pt idx="9">
                  <c:v>17733.745454545482</c:v>
                </c:pt>
                <c:pt idx="10">
                  <c:v>17619.727272727294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09-4F56-9AF1-31076147B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layout>
            <c:manualLayout>
              <c:xMode val="edge"/>
              <c:yMode val="edge"/>
              <c:x val="0.50392459879044271"/>
              <c:y val="0.8107493281916123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y, </a:t>
                </a:r>
                <a:r>
                  <a:rPr lang="ru-RU"/>
                  <a:t>млн руб.</a:t>
                </a:r>
              </a:p>
            </c:rich>
          </c:tx>
          <c:layout>
            <c:manualLayout>
              <c:xMode val="edge"/>
              <c:yMode val="edge"/>
              <c:x val="5.8522254078968515E-2"/>
              <c:y val="0.3784404939851890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Точечная диаграмма и линии тренда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Исходные данные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'Лаб раб 7'!$A$2:$A$12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xVal>
          <c:yVal>
            <c:numRef>
              <c:f>'Лаб раб 7'!$B$2:$B$12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33-45B9-9CA5-D749B3B06902}"/>
            </c:ext>
          </c:extLst>
        </c:ser>
        <c:ser>
          <c:idx val="1"/>
          <c:order val="1"/>
          <c:tx>
            <c:v>Линейный тренд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200835460906694"/>
                  <c:y val="-0.5219906389532061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-114.02x + 247936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0.9675</a:t>
                    </a:r>
                    <a:endParaRPr lang="ru-RU" sz="1400" baseline="0"/>
                  </a:p>
                  <a:p>
                    <a:pPr>
                      <a:defRPr sz="1400"/>
                    </a:pPr>
                    <a:r>
                      <a:rPr lang="ru-RU" sz="1400" baseline="0"/>
                      <a:t>Линейная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'Лаб раб 7'!$A$2:$A$12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xVal>
          <c:yVal>
            <c:numRef>
              <c:f>'Лаб раб 7'!$B$2:$B$12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33-45B9-9CA5-D749B3B06902}"/>
            </c:ext>
          </c:extLst>
        </c:ser>
        <c:ser>
          <c:idx val="2"/>
          <c:order val="2"/>
          <c:tx>
            <c:v>Полиномиальный тренд (2)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9249664323742844E-2"/>
                  <c:y val="-0.4532039968393711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-0.5431x</a:t>
                    </a:r>
                    <a:r>
                      <a:rPr lang="en-US" sz="1400" baseline="30000"/>
                      <a:t>2</a:t>
                    </a:r>
                    <a:r>
                      <a:rPr lang="en-US" sz="1400" baseline="0"/>
                      <a:t> + 2074.8x - 2E+06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0.9676</a:t>
                    </a:r>
                    <a:endParaRPr lang="ru-RU" sz="1400" baseline="0"/>
                  </a:p>
                  <a:p>
                    <a:pPr>
                      <a:defRPr sz="1400"/>
                    </a:pPr>
                    <a:r>
                      <a:rPr lang="ru-RU" sz="1400" baseline="0"/>
                      <a:t>Полиномиальная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'Лаб раб 7'!$A$2:$A$12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xVal>
          <c:yVal>
            <c:numRef>
              <c:f>'Лаб раб 7'!$B$2:$B$12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33-45B9-9CA5-D749B3B06902}"/>
            </c:ext>
          </c:extLst>
        </c:ser>
        <c:ser>
          <c:idx val="3"/>
          <c:order val="3"/>
          <c:tx>
            <c:v>Экспоненциальный тренд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2">
                    <a:lumMod val="60000"/>
                  </a:schemeClr>
                </a:solidFill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1084124526948762"/>
                  <c:y val="-0.3571070008465490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6E+09e</a:t>
                    </a:r>
                    <a:r>
                      <a:rPr lang="en-US" sz="1400" baseline="30000"/>
                      <a:t>-0.006x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0.9672</a:t>
                    </a:r>
                    <a:endParaRPr lang="ru-RU" sz="1400" baseline="0"/>
                  </a:p>
                  <a:p>
                    <a:pPr>
                      <a:defRPr sz="1400"/>
                    </a:pPr>
                    <a:r>
                      <a:rPr lang="ru-RU" sz="1400" baseline="0"/>
                      <a:t>Экспонециальная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'Лаб раб 7'!$A$2:$A$12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xVal>
          <c:yVal>
            <c:numRef>
              <c:f>'Лаб раб 7'!$B$2:$B$12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33-45B9-9CA5-D749B3B06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y, </a:t>
                </a:r>
                <a:r>
                  <a:rPr lang="ru-RU"/>
                  <a:t>млн руб.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570198062320503"/>
          <c:y val="0.21572629833003404"/>
          <c:w val="0.22232536433885308"/>
          <c:h val="0.29948750911511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705970</xdr:colOff>
      <xdr:row>17</xdr:row>
      <xdr:rowOff>149038</xdr:rowOff>
    </xdr:from>
    <xdr:ext cx="8897470" cy="456863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A710B-FA72-4E48-9635-4375F022B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537882</xdr:colOff>
      <xdr:row>42</xdr:row>
      <xdr:rowOff>42021</xdr:rowOff>
    </xdr:from>
    <xdr:ext cx="17192905" cy="1191661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C91377-F8B4-4149-84C2-AC1A065A9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zoomScaleNormal="100" workbookViewId="0">
      <pane ySplit="1" topLeftCell="A11" activePane="bottomLeft" state="frozen"/>
      <selection pane="bottomLeft" activeCell="B33" sqref="B33"/>
    </sheetView>
  </sheetViews>
  <sheetFormatPr defaultColWidth="9.140625" defaultRowHeight="15" x14ac:dyDescent="0.25"/>
  <cols>
    <col min="1" max="1" width="42.5703125" style="2" customWidth="1"/>
    <col min="2" max="2" width="22" style="2" customWidth="1"/>
    <col min="3" max="4" width="12" style="2" customWidth="1"/>
    <col min="5" max="6" width="20" style="2" customWidth="1"/>
    <col min="7" max="7" width="26.28515625" style="2" customWidth="1"/>
    <col min="8" max="8" width="25.7109375" style="2" customWidth="1"/>
    <col min="9" max="10" width="22" style="2" customWidth="1"/>
    <col min="11" max="11" width="29.7109375" style="2" customWidth="1"/>
    <col min="12" max="12" width="36" style="2" customWidth="1"/>
    <col min="13" max="13" width="23.28515625" style="2" customWidth="1"/>
    <col min="14" max="14" width="14" style="2" customWidth="1"/>
    <col min="15" max="15" width="27.140625" style="2" customWidth="1"/>
    <col min="16" max="20" width="9.140625" style="2" customWidth="1"/>
    <col min="21" max="16384" width="9.140625" style="2"/>
  </cols>
  <sheetData>
    <row r="1" spans="1:15" ht="6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6</v>
      </c>
      <c r="J1" s="4" t="s">
        <v>7</v>
      </c>
      <c r="K1" s="4" t="s">
        <v>8</v>
      </c>
      <c r="L1" s="6" t="s">
        <v>9</v>
      </c>
      <c r="M1" s="7" t="s">
        <v>10</v>
      </c>
      <c r="N1" s="3" t="s">
        <v>11</v>
      </c>
      <c r="O1" s="4" t="s">
        <v>12</v>
      </c>
    </row>
    <row r="2" spans="1:15" x14ac:dyDescent="0.25">
      <c r="A2">
        <v>2010</v>
      </c>
      <c r="B2">
        <v>18717</v>
      </c>
      <c r="C2">
        <f t="shared" ref="C2:C12" si="0">A2^2</f>
        <v>4040100</v>
      </c>
      <c r="D2">
        <f t="shared" ref="D2:D12" si="1">A2*B2</f>
        <v>37621170</v>
      </c>
      <c r="E2">
        <f t="shared" ref="E2:E12" si="2">B2-$B$2</f>
        <v>0</v>
      </c>
      <c r="G2" s="1">
        <f t="shared" ref="G2:G12" si="3">B2/$B$2*100</f>
        <v>100</v>
      </c>
      <c r="H2" s="1"/>
      <c r="I2" s="1">
        <f t="shared" ref="I2:I12" si="4">(B2-$B$2)/$B$2*100</f>
        <v>0</v>
      </c>
      <c r="J2" s="1"/>
      <c r="K2">
        <f t="shared" ref="K2:K12" si="5">(B2-B$2)/(COUNT($A$2:$A$12)-1)</f>
        <v>0</v>
      </c>
      <c r="L2" s="5">
        <f t="shared" ref="L2:L12" si="6">POWER(B2/B$2,1/COUNT($A$2:$A$12))</f>
        <v>1</v>
      </c>
      <c r="M2" s="1">
        <f t="shared" ref="M2:M12" si="7">$B$21 + $B$20*A2</f>
        <v>18759.909090909117</v>
      </c>
      <c r="N2" s="1">
        <f t="shared" ref="N2:N12" si="8">B2-M2</f>
        <v>-42.909090909117367</v>
      </c>
      <c r="O2" s="1">
        <f t="shared" ref="O2:O12" si="9">N2^2</f>
        <v>1841.1900826468986</v>
      </c>
    </row>
    <row r="3" spans="1:15" x14ac:dyDescent="0.25">
      <c r="A3">
        <v>2011</v>
      </c>
      <c r="B3">
        <v>18715</v>
      </c>
      <c r="C3">
        <f t="shared" si="0"/>
        <v>4044121</v>
      </c>
      <c r="D3">
        <f t="shared" si="1"/>
        <v>37635865</v>
      </c>
      <c r="E3">
        <f t="shared" si="2"/>
        <v>-2</v>
      </c>
      <c r="F3">
        <f t="shared" ref="F3:F12" si="10">B3-B2</f>
        <v>-2</v>
      </c>
      <c r="G3" s="1">
        <f t="shared" si="3"/>
        <v>99.989314526900671</v>
      </c>
      <c r="H3" s="1">
        <f t="shared" ref="H3:H12" si="11">B3/B2*100</f>
        <v>99.989314526900671</v>
      </c>
      <c r="I3" s="1">
        <f t="shared" si="4"/>
        <v>-1.0685473099321472E-2</v>
      </c>
      <c r="J3" s="1">
        <f t="shared" ref="J3:J12" si="12">(B3-B2)/B2*100</f>
        <v>-1.0685473099321472E-2</v>
      </c>
      <c r="K3">
        <f t="shared" si="5"/>
        <v>-0.2</v>
      </c>
      <c r="L3" s="5">
        <f t="shared" si="6"/>
        <v>0.99999028546169855</v>
      </c>
      <c r="M3" s="1">
        <f t="shared" si="7"/>
        <v>18645.890909090929</v>
      </c>
      <c r="N3" s="1">
        <f t="shared" si="8"/>
        <v>69.109090909070801</v>
      </c>
      <c r="O3" s="1">
        <f t="shared" si="9"/>
        <v>4776.0664462782124</v>
      </c>
    </row>
    <row r="4" spans="1:15" x14ac:dyDescent="0.25">
      <c r="A4">
        <v>2012</v>
      </c>
      <c r="B4">
        <v>18458</v>
      </c>
      <c r="C4">
        <f t="shared" si="0"/>
        <v>4048144</v>
      </c>
      <c r="D4">
        <f t="shared" si="1"/>
        <v>37137496</v>
      </c>
      <c r="E4">
        <f t="shared" si="2"/>
        <v>-259</v>
      </c>
      <c r="F4">
        <f t="shared" si="10"/>
        <v>-257</v>
      </c>
      <c r="G4" s="1">
        <f t="shared" si="3"/>
        <v>98.616231233637876</v>
      </c>
      <c r="H4" s="1">
        <f t="shared" si="11"/>
        <v>98.626769970611804</v>
      </c>
      <c r="I4" s="1">
        <f t="shared" si="4"/>
        <v>-1.3837687663621308</v>
      </c>
      <c r="J4" s="1">
        <f t="shared" si="12"/>
        <v>-1.3732300293881914</v>
      </c>
      <c r="K4">
        <f t="shared" si="5"/>
        <v>-25.9</v>
      </c>
      <c r="L4" s="5">
        <f t="shared" si="6"/>
        <v>0.99873404554696465</v>
      </c>
      <c r="M4" s="1">
        <f t="shared" si="7"/>
        <v>18531.872727272741</v>
      </c>
      <c r="N4" s="1">
        <f t="shared" si="8"/>
        <v>-73.872727272741031</v>
      </c>
      <c r="O4" s="1">
        <f t="shared" si="9"/>
        <v>5457.1798347127769</v>
      </c>
    </row>
    <row r="5" spans="1:15" x14ac:dyDescent="0.25">
      <c r="A5">
        <v>2013</v>
      </c>
      <c r="B5">
        <v>18481</v>
      </c>
      <c r="C5">
        <f t="shared" si="0"/>
        <v>4052169</v>
      </c>
      <c r="D5">
        <f t="shared" si="1"/>
        <v>37202253</v>
      </c>
      <c r="E5">
        <f t="shared" si="2"/>
        <v>-236</v>
      </c>
      <c r="F5">
        <f t="shared" si="10"/>
        <v>23</v>
      </c>
      <c r="G5" s="1">
        <f t="shared" si="3"/>
        <v>98.739114174280061</v>
      </c>
      <c r="H5" s="1">
        <f t="shared" si="11"/>
        <v>100.12460721638314</v>
      </c>
      <c r="I5" s="1">
        <f t="shared" si="4"/>
        <v>-1.2608858257199338</v>
      </c>
      <c r="J5" s="1">
        <f t="shared" si="12"/>
        <v>0.12460721638314011</v>
      </c>
      <c r="K5">
        <f t="shared" si="5"/>
        <v>-23.6</v>
      </c>
      <c r="L5" s="5">
        <f t="shared" si="6"/>
        <v>0.99884711739917331</v>
      </c>
      <c r="M5" s="1">
        <f t="shared" si="7"/>
        <v>18417.854545454553</v>
      </c>
      <c r="N5" s="1">
        <f t="shared" si="8"/>
        <v>63.145454545447137</v>
      </c>
      <c r="O5" s="1">
        <f t="shared" si="9"/>
        <v>3987.3484297511304</v>
      </c>
    </row>
    <row r="6" spans="1:15" x14ac:dyDescent="0.25">
      <c r="A6">
        <v>2014</v>
      </c>
      <c r="B6">
        <v>18281</v>
      </c>
      <c r="C6">
        <f t="shared" si="0"/>
        <v>4056196</v>
      </c>
      <c r="D6">
        <f t="shared" si="1"/>
        <v>36817934</v>
      </c>
      <c r="E6">
        <f t="shared" si="2"/>
        <v>-436</v>
      </c>
      <c r="F6">
        <f t="shared" si="10"/>
        <v>-200</v>
      </c>
      <c r="G6" s="1">
        <f t="shared" si="3"/>
        <v>97.670566864347919</v>
      </c>
      <c r="H6" s="1">
        <f t="shared" si="11"/>
        <v>98.917807477950319</v>
      </c>
      <c r="I6" s="1">
        <f t="shared" si="4"/>
        <v>-2.329433135652081</v>
      </c>
      <c r="J6" s="1">
        <f t="shared" si="12"/>
        <v>-1.0821925220496726</v>
      </c>
      <c r="K6">
        <f t="shared" si="5"/>
        <v>-43.6</v>
      </c>
      <c r="L6" s="5">
        <f t="shared" si="6"/>
        <v>0.99785957283623328</v>
      </c>
      <c r="M6" s="1">
        <f t="shared" si="7"/>
        <v>18303.836363636394</v>
      </c>
      <c r="N6" s="1">
        <f t="shared" si="8"/>
        <v>-22.836363636393799</v>
      </c>
      <c r="O6" s="1">
        <f t="shared" si="9"/>
        <v>521.49950413360898</v>
      </c>
    </row>
    <row r="7" spans="1:15" x14ac:dyDescent="0.25">
      <c r="A7">
        <v>2015</v>
      </c>
      <c r="B7">
        <v>18250</v>
      </c>
      <c r="C7">
        <f t="shared" si="0"/>
        <v>4060225</v>
      </c>
      <c r="D7">
        <f t="shared" si="1"/>
        <v>36773750</v>
      </c>
      <c r="E7">
        <f t="shared" si="2"/>
        <v>-467</v>
      </c>
      <c r="F7">
        <f t="shared" si="10"/>
        <v>-31</v>
      </c>
      <c r="G7" s="1">
        <f t="shared" si="3"/>
        <v>97.504942031308445</v>
      </c>
      <c r="H7" s="1">
        <f t="shared" si="11"/>
        <v>99.830425031453416</v>
      </c>
      <c r="I7" s="1">
        <f t="shared" si="4"/>
        <v>-2.4950579686915639</v>
      </c>
      <c r="J7" s="1">
        <f t="shared" si="12"/>
        <v>-0.16957496854657841</v>
      </c>
      <c r="K7">
        <f t="shared" si="5"/>
        <v>-46.7</v>
      </c>
      <c r="L7" s="5">
        <f t="shared" si="6"/>
        <v>0.99770562504130733</v>
      </c>
      <c r="M7" s="1">
        <f t="shared" si="7"/>
        <v>18189.818181818206</v>
      </c>
      <c r="N7" s="1">
        <f t="shared" si="8"/>
        <v>60.18181818179437</v>
      </c>
      <c r="O7" s="1">
        <f t="shared" si="9"/>
        <v>3621.8512396665556</v>
      </c>
    </row>
    <row r="8" spans="1:15" x14ac:dyDescent="0.25">
      <c r="A8">
        <v>2016</v>
      </c>
      <c r="B8">
        <v>17990</v>
      </c>
      <c r="C8">
        <f t="shared" si="0"/>
        <v>4064256</v>
      </c>
      <c r="D8">
        <f t="shared" si="1"/>
        <v>36267840</v>
      </c>
      <c r="E8">
        <f t="shared" si="2"/>
        <v>-727</v>
      </c>
      <c r="F8">
        <f t="shared" si="10"/>
        <v>-260</v>
      </c>
      <c r="G8" s="1">
        <f t="shared" si="3"/>
        <v>96.115830528396643</v>
      </c>
      <c r="H8" s="1">
        <f t="shared" si="11"/>
        <v>98.575342465753423</v>
      </c>
      <c r="I8" s="1">
        <f t="shared" si="4"/>
        <v>-3.8841694716033555</v>
      </c>
      <c r="J8" s="1">
        <f t="shared" si="12"/>
        <v>-1.4246575342465753</v>
      </c>
      <c r="K8">
        <f t="shared" si="5"/>
        <v>-72.7</v>
      </c>
      <c r="L8" s="5">
        <f t="shared" si="6"/>
        <v>0.99640500897888007</v>
      </c>
      <c r="M8" s="1">
        <f t="shared" si="7"/>
        <v>18075.800000000017</v>
      </c>
      <c r="N8" s="1">
        <f t="shared" si="8"/>
        <v>-85.800000000017462</v>
      </c>
      <c r="O8" s="1">
        <f t="shared" si="9"/>
        <v>7361.6400000029962</v>
      </c>
    </row>
    <row r="9" spans="1:15" x14ac:dyDescent="0.25">
      <c r="A9">
        <v>2017</v>
      </c>
      <c r="B9">
        <v>18017</v>
      </c>
      <c r="C9">
        <f t="shared" si="0"/>
        <v>4068289</v>
      </c>
      <c r="D9">
        <f t="shared" si="1"/>
        <v>36340289</v>
      </c>
      <c r="E9">
        <f t="shared" si="2"/>
        <v>-700</v>
      </c>
      <c r="F9">
        <f t="shared" si="10"/>
        <v>27</v>
      </c>
      <c r="G9" s="1">
        <f t="shared" si="3"/>
        <v>96.260084415237486</v>
      </c>
      <c r="H9" s="1">
        <f t="shared" si="11"/>
        <v>100.15008337965537</v>
      </c>
      <c r="I9" s="1">
        <f t="shared" si="4"/>
        <v>-3.7399155847625156</v>
      </c>
      <c r="J9" s="1">
        <f t="shared" si="12"/>
        <v>0.15008337965536411</v>
      </c>
      <c r="K9">
        <f t="shared" si="5"/>
        <v>-70</v>
      </c>
      <c r="L9" s="5">
        <f t="shared" si="6"/>
        <v>0.99654086526088204</v>
      </c>
      <c r="M9" s="1">
        <f t="shared" si="7"/>
        <v>17961.781818181829</v>
      </c>
      <c r="N9" s="1">
        <f t="shared" si="8"/>
        <v>55.218181818170706</v>
      </c>
      <c r="O9" s="1">
        <f t="shared" si="9"/>
        <v>3049.0476033045579</v>
      </c>
    </row>
    <row r="10" spans="1:15" x14ac:dyDescent="0.25">
      <c r="A10">
        <v>2018</v>
      </c>
      <c r="B10">
        <v>17890</v>
      </c>
      <c r="C10">
        <f t="shared" si="0"/>
        <v>4072324</v>
      </c>
      <c r="D10">
        <f t="shared" si="1"/>
        <v>36102020</v>
      </c>
      <c r="E10">
        <f t="shared" si="2"/>
        <v>-827</v>
      </c>
      <c r="F10">
        <f t="shared" si="10"/>
        <v>-127</v>
      </c>
      <c r="G10" s="1">
        <f t="shared" si="3"/>
        <v>95.581556873430571</v>
      </c>
      <c r="H10" s="1">
        <f t="shared" si="11"/>
        <v>99.295110173724822</v>
      </c>
      <c r="I10" s="1">
        <f t="shared" si="4"/>
        <v>-4.4184431265694286</v>
      </c>
      <c r="J10" s="1">
        <f t="shared" si="12"/>
        <v>-0.70488982627518448</v>
      </c>
      <c r="K10">
        <f t="shared" si="5"/>
        <v>-82.7</v>
      </c>
      <c r="L10" s="5">
        <f t="shared" si="6"/>
        <v>0.99590021766880266</v>
      </c>
      <c r="M10" s="1">
        <f t="shared" si="7"/>
        <v>17847.763636363641</v>
      </c>
      <c r="N10" s="1">
        <f t="shared" si="8"/>
        <v>42.236363636358874</v>
      </c>
      <c r="O10" s="1">
        <f t="shared" si="9"/>
        <v>1783.9104132227383</v>
      </c>
    </row>
    <row r="11" spans="1:15" x14ac:dyDescent="0.25">
      <c r="A11">
        <v>2019</v>
      </c>
      <c r="B11">
        <v>17619</v>
      </c>
      <c r="C11">
        <f t="shared" si="0"/>
        <v>4076361</v>
      </c>
      <c r="D11">
        <f t="shared" si="1"/>
        <v>35572761</v>
      </c>
      <c r="E11">
        <f t="shared" si="2"/>
        <v>-1098</v>
      </c>
      <c r="F11">
        <f t="shared" si="10"/>
        <v>-271</v>
      </c>
      <c r="G11" s="1">
        <f t="shared" si="3"/>
        <v>94.133675268472516</v>
      </c>
      <c r="H11" s="1">
        <f t="shared" si="11"/>
        <v>98.485187255449972</v>
      </c>
      <c r="I11" s="1">
        <f t="shared" si="4"/>
        <v>-5.866324731527488</v>
      </c>
      <c r="J11" s="1">
        <f t="shared" si="12"/>
        <v>-1.5148127445500279</v>
      </c>
      <c r="K11">
        <f t="shared" si="5"/>
        <v>-109.8</v>
      </c>
      <c r="L11" s="5">
        <f t="shared" si="6"/>
        <v>0.99451922576770291</v>
      </c>
      <c r="M11" s="1">
        <f t="shared" si="7"/>
        <v>17733.745454545482</v>
      </c>
      <c r="N11" s="1">
        <f t="shared" si="8"/>
        <v>-114.74545454548206</v>
      </c>
      <c r="O11" s="1">
        <f t="shared" si="9"/>
        <v>13166.51933884929</v>
      </c>
    </row>
    <row r="12" spans="1:15" x14ac:dyDescent="0.25">
      <c r="A12">
        <v>2020</v>
      </c>
      <c r="B12">
        <v>17670</v>
      </c>
      <c r="C12">
        <f t="shared" si="0"/>
        <v>4080400</v>
      </c>
      <c r="D12">
        <f t="shared" si="1"/>
        <v>35693400</v>
      </c>
      <c r="E12">
        <f t="shared" si="2"/>
        <v>-1047</v>
      </c>
      <c r="F12">
        <f t="shared" si="10"/>
        <v>51</v>
      </c>
      <c r="G12" s="1">
        <f t="shared" si="3"/>
        <v>94.406154832505209</v>
      </c>
      <c r="H12" s="1">
        <f t="shared" si="11"/>
        <v>100.28946024178444</v>
      </c>
      <c r="I12" s="1">
        <f t="shared" si="4"/>
        <v>-5.5938451674947913</v>
      </c>
      <c r="J12" s="1">
        <f t="shared" si="12"/>
        <v>0.28946024178443724</v>
      </c>
      <c r="K12">
        <f t="shared" si="5"/>
        <v>-104.7</v>
      </c>
      <c r="L12" s="5">
        <f t="shared" si="6"/>
        <v>0.99478058550232185</v>
      </c>
      <c r="M12" s="1">
        <f t="shared" si="7"/>
        <v>17619.727272727294</v>
      </c>
      <c r="N12" s="1">
        <f t="shared" si="8"/>
        <v>50.272727272706106</v>
      </c>
      <c r="O12" s="1">
        <f t="shared" si="9"/>
        <v>2527.3471074358881</v>
      </c>
    </row>
    <row r="14" spans="1:15" x14ac:dyDescent="0.25">
      <c r="A14" t="s">
        <v>13</v>
      </c>
      <c r="B14">
        <f>COUNT(B2:B12)</f>
        <v>11</v>
      </c>
      <c r="E14" t="s">
        <v>14</v>
      </c>
    </row>
    <row r="15" spans="1:15" x14ac:dyDescent="0.25">
      <c r="A15" t="s">
        <v>15</v>
      </c>
      <c r="B15">
        <f>SUM(A2:A12)</f>
        <v>22165</v>
      </c>
      <c r="E15" t="s">
        <v>16</v>
      </c>
      <c r="F15" t="s">
        <v>17</v>
      </c>
      <c r="G15" t="s">
        <v>18</v>
      </c>
      <c r="H15" t="s">
        <v>19</v>
      </c>
    </row>
    <row r="16" spans="1:15" x14ac:dyDescent="0.25">
      <c r="A16" t="s">
        <v>20</v>
      </c>
      <c r="B16">
        <f>SUM(B2:B12)</f>
        <v>200088</v>
      </c>
      <c r="E16">
        <v>2021</v>
      </c>
      <c r="F16">
        <f>$B$21 + $B$20*E16</f>
        <v>17505.709090909106</v>
      </c>
      <c r="G16">
        <f>F16-$B$24*$B$25</f>
        <v>17340.343493979046</v>
      </c>
      <c r="H16">
        <f>F16+$B$24*$B$25</f>
        <v>17671.074687839166</v>
      </c>
    </row>
    <row r="17" spans="1:8" x14ac:dyDescent="0.25">
      <c r="A17" t="s">
        <v>21</v>
      </c>
      <c r="B17">
        <f>SUM(C2:C12)</f>
        <v>44662585</v>
      </c>
      <c r="E17">
        <v>2022</v>
      </c>
      <c r="F17">
        <f>$B$21 + $B$20*E17</f>
        <v>17391.690909090918</v>
      </c>
      <c r="G17">
        <f>F17-$B$24*$B$25</f>
        <v>17226.325312160858</v>
      </c>
      <c r="H17">
        <f>F17+$B$24*$B$25</f>
        <v>17557.056506020977</v>
      </c>
    </row>
    <row r="18" spans="1:8" x14ac:dyDescent="0.25">
      <c r="A18" t="s">
        <v>22</v>
      </c>
      <c r="B18">
        <f>SUM(D2:D12)</f>
        <v>403164778</v>
      </c>
    </row>
    <row r="20" spans="1:8" x14ac:dyDescent="0.25">
      <c r="A20" t="s">
        <v>23</v>
      </c>
      <c r="B20" s="1">
        <f>(B14*B18 - B15*B16)/(B14*B17 - B15^2)</f>
        <v>-114.01818181818182</v>
      </c>
    </row>
    <row r="21" spans="1:8" x14ac:dyDescent="0.25">
      <c r="A21" t="s">
        <v>24</v>
      </c>
      <c r="B21" s="1">
        <f>(B16 - B20*B15)/B14</f>
        <v>247936.45454545456</v>
      </c>
    </row>
    <row r="22" spans="1:8" x14ac:dyDescent="0.25">
      <c r="B22" s="1"/>
    </row>
    <row r="23" spans="1:8" x14ac:dyDescent="0.25">
      <c r="A23" t="s">
        <v>30</v>
      </c>
      <c r="B23" s="1">
        <f>SUM(O2:O12)</f>
        <v>48093.600000004655</v>
      </c>
    </row>
    <row r="24" spans="1:8" x14ac:dyDescent="0.25">
      <c r="A24" s="8" t="s">
        <v>31</v>
      </c>
      <c r="B24" s="1">
        <f>SQRT(B23/(B14-2))</f>
        <v>73.100843588387207</v>
      </c>
    </row>
    <row r="25" spans="1:8" x14ac:dyDescent="0.25">
      <c r="A25" s="8" t="s">
        <v>32</v>
      </c>
      <c r="B25" s="1">
        <f>_xlfn.T.INV.2T(B26, B14-2)</f>
        <v>2.2621571627982053</v>
      </c>
    </row>
    <row r="26" spans="1:8" x14ac:dyDescent="0.25">
      <c r="A26" t="s">
        <v>29</v>
      </c>
      <c r="B26" s="1">
        <v>0.05</v>
      </c>
    </row>
    <row r="27" spans="1:8" x14ac:dyDescent="0.25">
      <c r="B27" s="1"/>
    </row>
    <row r="28" spans="1:8" x14ac:dyDescent="0.25">
      <c r="A28" s="8" t="s">
        <v>25</v>
      </c>
      <c r="B28" s="1">
        <f>AVERAGE(B2:B12)</f>
        <v>18189.81818181818</v>
      </c>
    </row>
    <row r="29" spans="1:8" x14ac:dyDescent="0.25">
      <c r="A29" s="8" t="s">
        <v>26</v>
      </c>
      <c r="B29" s="1">
        <f>(B12-B2)/(B14-1)</f>
        <v>-104.7</v>
      </c>
    </row>
    <row r="30" spans="1:8" x14ac:dyDescent="0.25">
      <c r="A30" s="8" t="s">
        <v>33</v>
      </c>
      <c r="B30" s="1">
        <f>(B12/B2)^(1/B14)*100</f>
        <v>99.478058550232191</v>
      </c>
    </row>
    <row r="31" spans="1:8" x14ac:dyDescent="0.25">
      <c r="A31" s="8" t="s">
        <v>34</v>
      </c>
      <c r="B31" s="1">
        <f>B30-100</f>
        <v>-0.52194144976780876</v>
      </c>
    </row>
    <row r="32" spans="1:8" x14ac:dyDescent="0.25">
      <c r="B32" s="1"/>
    </row>
    <row r="33" spans="1:2" x14ac:dyDescent="0.25">
      <c r="A33" s="8" t="s">
        <v>27</v>
      </c>
      <c r="B33" s="1">
        <f>MAX(B2:B12)-MIN(B2:B12)</f>
        <v>1098</v>
      </c>
    </row>
    <row r="34" spans="1:2" x14ac:dyDescent="0.25">
      <c r="A34" s="8" t="s">
        <v>28</v>
      </c>
      <c r="B34" s="1">
        <f>_xlfn.STDEV.P(B2:B12)/B28*100</f>
        <v>2.015248578744679</v>
      </c>
    </row>
    <row r="35" spans="1:2" x14ac:dyDescent="0.25">
      <c r="B35" s="1"/>
    </row>
    <row r="36" spans="1:2" x14ac:dyDescent="0.25">
      <c r="B36" s="1"/>
    </row>
  </sheetData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Лаб раб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prod ed1ct</cp:lastModifiedBy>
  <dcterms:created xsi:type="dcterms:W3CDTF">2025-12-12T11:53:58Z</dcterms:created>
  <dcterms:modified xsi:type="dcterms:W3CDTF">2025-12-13T07:48:56Z</dcterms:modified>
</cp:coreProperties>
</file>