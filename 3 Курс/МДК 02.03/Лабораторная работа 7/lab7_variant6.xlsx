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Secret\fork\Labwork\3 Курс\МДК 02.03\Лабораторная работа 7\"/>
    </mc:Choice>
  </mc:AlternateContent>
  <xr:revisionPtr revIDLastSave="0" documentId="13_ncr:1_{50CAA973-3F8C-47D2-B7C2-B7C8D9A1867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C23" i="1"/>
  <c r="C24" i="1" s="1"/>
  <c r="C26" i="1" l="1"/>
  <c r="D2" i="1"/>
  <c r="C16" i="1" s="1"/>
  <c r="C25" i="1"/>
  <c r="C21" i="1"/>
  <c r="C18" i="1"/>
  <c r="C15" i="1"/>
  <c r="C14" i="1"/>
  <c r="K12" i="1"/>
  <c r="J12" i="1"/>
  <c r="I12" i="1"/>
  <c r="H12" i="1"/>
  <c r="G12" i="1"/>
  <c r="F12" i="1"/>
  <c r="E12" i="1"/>
  <c r="D12" i="1"/>
  <c r="K11" i="1"/>
  <c r="J11" i="1"/>
  <c r="I11" i="1"/>
  <c r="H11" i="1"/>
  <c r="G11" i="1"/>
  <c r="F11" i="1"/>
  <c r="E11" i="1"/>
  <c r="D11" i="1"/>
  <c r="K10" i="1"/>
  <c r="J10" i="1"/>
  <c r="I10" i="1"/>
  <c r="H10" i="1"/>
  <c r="G10" i="1"/>
  <c r="F10" i="1"/>
  <c r="E10" i="1"/>
  <c r="D10" i="1"/>
  <c r="K9" i="1"/>
  <c r="J9" i="1"/>
  <c r="I9" i="1"/>
  <c r="H9" i="1"/>
  <c r="G9" i="1"/>
  <c r="F9" i="1"/>
  <c r="E9" i="1"/>
  <c r="D9" i="1"/>
  <c r="K8" i="1"/>
  <c r="J8" i="1"/>
  <c r="I8" i="1"/>
  <c r="H8" i="1"/>
  <c r="G8" i="1"/>
  <c r="F8" i="1"/>
  <c r="E8" i="1"/>
  <c r="D8" i="1"/>
  <c r="K7" i="1"/>
  <c r="J7" i="1"/>
  <c r="I7" i="1"/>
  <c r="H7" i="1"/>
  <c r="G7" i="1"/>
  <c r="F7" i="1"/>
  <c r="E7" i="1"/>
  <c r="D7" i="1"/>
  <c r="K6" i="1"/>
  <c r="J6" i="1"/>
  <c r="I6" i="1"/>
  <c r="H6" i="1"/>
  <c r="G6" i="1"/>
  <c r="F6" i="1"/>
  <c r="E6" i="1"/>
  <c r="D6" i="1"/>
  <c r="K5" i="1"/>
  <c r="J5" i="1"/>
  <c r="I5" i="1"/>
  <c r="H5" i="1"/>
  <c r="G5" i="1"/>
  <c r="F5" i="1"/>
  <c r="E5" i="1"/>
  <c r="D5" i="1"/>
  <c r="K4" i="1"/>
  <c r="J4" i="1"/>
  <c r="I4" i="1"/>
  <c r="H4" i="1"/>
  <c r="G4" i="1"/>
  <c r="F4" i="1"/>
  <c r="E4" i="1"/>
  <c r="D4" i="1"/>
  <c r="K3" i="1"/>
  <c r="J3" i="1"/>
  <c r="I3" i="1"/>
  <c r="H3" i="1"/>
  <c r="G3" i="1"/>
  <c r="F3" i="1"/>
  <c r="E3" i="1"/>
  <c r="D3" i="1"/>
  <c r="J2" i="1"/>
  <c r="H2" i="1"/>
  <c r="F2" i="1"/>
  <c r="E2" i="1"/>
  <c r="C17" i="1" l="1"/>
  <c r="C19" i="1" s="1"/>
  <c r="C20" i="1" s="1"/>
  <c r="C22" i="1"/>
  <c r="L8" i="1" l="1"/>
  <c r="M8" i="1" s="1"/>
  <c r="N8" i="1" s="1"/>
  <c r="L10" i="1"/>
  <c r="M10" i="1" s="1"/>
  <c r="N10" i="1" s="1"/>
  <c r="L3" i="1"/>
  <c r="M3" i="1" s="1"/>
  <c r="N3" i="1" s="1"/>
  <c r="C29" i="1"/>
  <c r="L4" i="1"/>
  <c r="M4" i="1" s="1"/>
  <c r="N4" i="1" s="1"/>
  <c r="L7" i="1"/>
  <c r="M7" i="1" s="1"/>
  <c r="N7" i="1" s="1"/>
  <c r="L2" i="1"/>
  <c r="L9" i="1"/>
  <c r="M9" i="1" s="1"/>
  <c r="N9" i="1" s="1"/>
  <c r="L11" i="1"/>
  <c r="M11" i="1" s="1"/>
  <c r="N11" i="1" s="1"/>
  <c r="L5" i="1"/>
  <c r="M5" i="1" s="1"/>
  <c r="N5" i="1" s="1"/>
  <c r="C28" i="1"/>
  <c r="L6" i="1"/>
  <c r="M6" i="1" s="1"/>
  <c r="N6" i="1" s="1"/>
  <c r="L12" i="1"/>
  <c r="M12" i="1" s="1"/>
  <c r="N12" i="1" s="1"/>
  <c r="M2" i="1" l="1"/>
  <c r="N2" i="1" s="1"/>
  <c r="C27" i="1" s="1"/>
  <c r="C33" i="1" s="1"/>
  <c r="C31" i="1" l="1"/>
  <c r="C30" i="1"/>
  <c r="C32" i="1"/>
</calcChain>
</file>

<file path=xl/sharedStrings.xml><?xml version="1.0" encoding="utf-8"?>
<sst xmlns="http://schemas.openxmlformats.org/spreadsheetml/2006/main" count="35" uniqueCount="35">
  <si>
    <t>x</t>
  </si>
  <si>
    <t>xy</t>
  </si>
  <si>
    <t>Сумма значений аргумента ∑xᵢ</t>
  </si>
  <si>
    <t>Верхняя граница прогноза на 2022 год</t>
  </si>
  <si>
    <t>Нижняя граница прогноза на 2022 год</t>
  </si>
  <si>
    <t>Верхняя граница прогноза на 2021 год</t>
  </si>
  <si>
    <t>Нижняя граница прогноза на 2021 год</t>
  </si>
  <si>
    <t>Прогнозное значение на 2022 год</t>
  </si>
  <si>
    <t>Прогнозное значение на 2021 год</t>
  </si>
  <si>
    <t>Среднеквадратическое отклонение σ</t>
  </si>
  <si>
    <t>Коэффициент вариации, %</t>
  </si>
  <si>
    <t>Размах колебаний (амплитуда)</t>
  </si>
  <si>
    <t>Средний темп прироста, %</t>
  </si>
  <si>
    <t>Средний темп роста, %</t>
  </si>
  <si>
    <t>Средний абсолютный прирост</t>
  </si>
  <si>
    <t>Средний уровень динамического ряда</t>
  </si>
  <si>
    <t>Свободный член a₁</t>
  </si>
  <si>
    <t>Коэффициент наклона a₂</t>
  </si>
  <si>
    <t>Число наблюдений n</t>
  </si>
  <si>
    <t>Сумма произведений ∑xᵢyᵢ</t>
  </si>
  <si>
    <t>Сумма квадратов аргумента ∑xᵢ²</t>
  </si>
  <si>
    <t>Сумма уровней ряда ∑yᵢ</t>
  </si>
  <si>
    <t>Уровень ряда yᵢ, млн руб.</t>
  </si>
  <si>
    <t>Год (xᵢ)</t>
  </si>
  <si>
    <t>Остаток εᵢ = yᵢ − ŷᵢ</t>
  </si>
  <si>
    <t>Абсолютный прирост, базисный Δyᵢᵇ (млн руб.)</t>
  </si>
  <si>
    <t>Абсолютный прирост, цепной Δyᵢᶜ (млн руб.)</t>
  </si>
  <si>
    <t>Темп роста, базисный Tᵢᵇ (%)</t>
  </si>
  <si>
    <t>Темп роста, цепной Tᵢᶜ (%)</t>
  </si>
  <si>
    <t>Темп прироста, базисный tᵢᵇ (%)</t>
  </si>
  <si>
    <t>Темп прироста, цепной tᵢᶜ (%)</t>
  </si>
  <si>
    <t>Выровненный уровень ŷᵢ (млн руб.)</t>
  </si>
  <si>
    <t>x*x</t>
  </si>
  <si>
    <r>
      <t>Квадрат ошибки аппроксимации</t>
    </r>
    <r>
      <rPr>
        <sz val="11"/>
        <color theme="1"/>
        <rFont val="Calibri"/>
        <family val="2"/>
        <scheme val="minor"/>
      </rPr>
      <t xml:space="preserve"> ε</t>
    </r>
    <r>
      <rPr>
        <sz val="11"/>
        <color theme="1"/>
        <rFont val="Calibri"/>
        <family val="2"/>
        <scheme val="minor"/>
      </rPr>
      <t>ᵢ2</t>
    </r>
  </si>
  <si>
    <t>Цепной коэффициент роста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</si>
</sst>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Original vs Trend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0140943880005002"/>
          <c:y val="0.20406277340332457"/>
          <c:w val="0.88440320443112241"/>
          <c:h val="0.47955016039661708"/>
        </c:manualLayout>
      </c:layout>
      <c:lineChart>
        <c:grouping val="standard"/>
        <c:varyColors val="0"/>
        <c:ser>
          <c:idx val="0"/>
          <c:order val="0"/>
          <c:tx>
            <c:v>Original</c:v>
          </c:tx>
          <c:spPr>
            <a:ln>
              <a:solidFill>
                <a:srgbClr val="0000FF"/>
              </a:solidFill>
            </a:ln>
          </c:spPr>
          <c:marker>
            <c:symbol val="none"/>
          </c:marker>
          <c:cat>
            <c:numRef>
              <c:f>Data!$A$2:$A$12</c:f>
              <c:numCache>
                <c:formatCode>General</c:formatCode>
                <c:ptCount val="1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</c:numCache>
            </c:numRef>
          </c:cat>
          <c:val>
            <c:numRef>
              <c:f>Data!$B$2:$B$12</c:f>
              <c:numCache>
                <c:formatCode>General</c:formatCode>
                <c:ptCount val="11"/>
                <c:pt idx="0">
                  <c:v>18717</c:v>
                </c:pt>
                <c:pt idx="1">
                  <c:v>18715</c:v>
                </c:pt>
                <c:pt idx="2">
                  <c:v>18458</c:v>
                </c:pt>
                <c:pt idx="3">
                  <c:v>18481</c:v>
                </c:pt>
                <c:pt idx="4">
                  <c:v>18281</c:v>
                </c:pt>
                <c:pt idx="5">
                  <c:v>18250</c:v>
                </c:pt>
                <c:pt idx="6">
                  <c:v>17990</c:v>
                </c:pt>
                <c:pt idx="7">
                  <c:v>18017</c:v>
                </c:pt>
                <c:pt idx="8">
                  <c:v>17890</c:v>
                </c:pt>
                <c:pt idx="9">
                  <c:v>17619</c:v>
                </c:pt>
                <c:pt idx="10">
                  <c:v>17670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1F-40D5-86A5-E193E2EE6238}"/>
            </c:ext>
          </c:extLst>
        </c:ser>
        <c:ser>
          <c:idx val="1"/>
          <c:order val="1"/>
          <c:tx>
            <c:v>Trend (LS)</c:v>
          </c:tx>
          <c:spPr>
            <a:ln>
              <a:solidFill>
                <a:srgbClr val="FF0000"/>
              </a:solidFill>
              <a:prstDash val="dash"/>
            </a:ln>
          </c:spPr>
          <c:marker>
            <c:symbol val="none"/>
          </c:marker>
          <c:cat>
            <c:numRef>
              <c:f>Data!$A$2:$A$12</c:f>
              <c:numCache>
                <c:formatCode>General</c:formatCode>
                <c:ptCount val="1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</c:numCache>
            </c:numRef>
          </c:cat>
          <c:val>
            <c:numRef>
              <c:f>Data!$L$2:$L$12</c:f>
              <c:numCache>
                <c:formatCode>0.00</c:formatCode>
                <c:ptCount val="11"/>
                <c:pt idx="0">
                  <c:v>18759.909090909092</c:v>
                </c:pt>
                <c:pt idx="1">
                  <c:v>18645.890909090907</c:v>
                </c:pt>
                <c:pt idx="2">
                  <c:v>18531.872727272726</c:v>
                </c:pt>
                <c:pt idx="3">
                  <c:v>18417.854545454546</c:v>
                </c:pt>
                <c:pt idx="4">
                  <c:v>18303.836363636365</c:v>
                </c:pt>
                <c:pt idx="5">
                  <c:v>18189.81818181818</c:v>
                </c:pt>
                <c:pt idx="6">
                  <c:v>18075.8</c:v>
                </c:pt>
                <c:pt idx="7">
                  <c:v>17961.781818181818</c:v>
                </c:pt>
                <c:pt idx="8">
                  <c:v>17847.763636363637</c:v>
                </c:pt>
                <c:pt idx="9">
                  <c:v>17733.745454545453</c:v>
                </c:pt>
                <c:pt idx="10">
                  <c:v>17619.727272727272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1F-40D5-86A5-E193E2EE6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Indicator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Scatter with Trendlines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</c:v>
          </c:tx>
          <c:marker>
            <c:symbol val="circle"/>
            <c:size val="3"/>
            <c:spPr>
              <a:solidFill>
                <a:srgbClr val="FFFF00"/>
              </a:solidFill>
              <a:ln>
                <a:solidFill>
                  <a:srgbClr val="000000"/>
                </a:solidFill>
              </a:ln>
            </c:spPr>
          </c:marker>
          <c:trendline>
            <c:spPr>
              <a:ln>
                <a:solidFill>
                  <a:srgbClr val="FF0000"/>
                </a:solidFill>
              </a:ln>
            </c:spPr>
            <c:trendlineType val="linear"/>
            <c:dispRSqr val="1"/>
            <c:dispEq val="1"/>
            <c:trendlineLbl>
              <c:layout>
                <c:manualLayout>
                  <c:x val="-0.27683763763215929"/>
                  <c:y val="-0.32976377952755903"/>
                </c:manualLayout>
              </c:layout>
              <c:numFmt formatCode="General" sourceLinked="0"/>
            </c:trendlineLbl>
          </c:trendline>
          <c:xVal>
            <c:numRef>
              <c:f>Data!$C$2:$C$12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Data!$B$2:$B$12</c:f>
              <c:numCache>
                <c:formatCode>General</c:formatCode>
                <c:ptCount val="11"/>
                <c:pt idx="0">
                  <c:v>18717</c:v>
                </c:pt>
                <c:pt idx="1">
                  <c:v>18715</c:v>
                </c:pt>
                <c:pt idx="2">
                  <c:v>18458</c:v>
                </c:pt>
                <c:pt idx="3">
                  <c:v>18481</c:v>
                </c:pt>
                <c:pt idx="4">
                  <c:v>18281</c:v>
                </c:pt>
                <c:pt idx="5">
                  <c:v>18250</c:v>
                </c:pt>
                <c:pt idx="6">
                  <c:v>17990</c:v>
                </c:pt>
                <c:pt idx="7">
                  <c:v>18017</c:v>
                </c:pt>
                <c:pt idx="8">
                  <c:v>17890</c:v>
                </c:pt>
                <c:pt idx="9">
                  <c:v>17619</c:v>
                </c:pt>
                <c:pt idx="10">
                  <c:v>17670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16-4D81-8717-4F6955295353}"/>
            </c:ext>
          </c:extLst>
        </c:ser>
        <c:ser>
          <c:idx val="1"/>
          <c:order val="1"/>
          <c:tx>
            <c:v>Data (Poly)</c:v>
          </c:tx>
          <c:marker>
            <c:symbol val="none"/>
          </c:marker>
          <c:trendline>
            <c:spPr>
              <a:ln>
                <a:solidFill>
                  <a:srgbClr val="008000"/>
                </a:solidFill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2.4182923071933579E-2"/>
                  <c:y val="-0.25833520809898763"/>
                </c:manualLayout>
              </c:layout>
              <c:numFmt formatCode="General" sourceLinked="0"/>
            </c:trendlineLbl>
          </c:trendline>
          <c:xVal>
            <c:numRef>
              <c:f>Data!$C$2:$C$12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Data!$B$2:$B$12</c:f>
              <c:numCache>
                <c:formatCode>General</c:formatCode>
                <c:ptCount val="11"/>
                <c:pt idx="0">
                  <c:v>18717</c:v>
                </c:pt>
                <c:pt idx="1">
                  <c:v>18715</c:v>
                </c:pt>
                <c:pt idx="2">
                  <c:v>18458</c:v>
                </c:pt>
                <c:pt idx="3">
                  <c:v>18481</c:v>
                </c:pt>
                <c:pt idx="4">
                  <c:v>18281</c:v>
                </c:pt>
                <c:pt idx="5">
                  <c:v>18250</c:v>
                </c:pt>
                <c:pt idx="6">
                  <c:v>17990</c:v>
                </c:pt>
                <c:pt idx="7">
                  <c:v>18017</c:v>
                </c:pt>
                <c:pt idx="8">
                  <c:v>17890</c:v>
                </c:pt>
                <c:pt idx="9">
                  <c:v>17619</c:v>
                </c:pt>
                <c:pt idx="10">
                  <c:v>17670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B16-4D81-8717-4F6955295353}"/>
            </c:ext>
          </c:extLst>
        </c:ser>
        <c:ser>
          <c:idx val="2"/>
          <c:order val="2"/>
          <c:tx>
            <c:v>Data (Expo)</c:v>
          </c:tx>
          <c:marker>
            <c:symbol val="none"/>
          </c:marker>
          <c:trendline>
            <c:spPr>
              <a:ln>
                <a:solidFill>
                  <a:srgbClr val="0000FF"/>
                </a:solidFill>
              </a:ln>
            </c:spPr>
            <c:trendlineType val="exp"/>
            <c:dispRSqr val="1"/>
            <c:dispEq val="1"/>
            <c:trendlineLbl>
              <c:layout>
                <c:manualLayout>
                  <c:x val="-0.16849310521664396"/>
                  <c:y val="1.7855268091488564E-2"/>
                </c:manualLayout>
              </c:layout>
              <c:numFmt formatCode="General" sourceLinked="0"/>
            </c:trendlineLbl>
          </c:trendline>
          <c:xVal>
            <c:numRef>
              <c:f>Data!$C$2:$C$12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Data!$B$2:$B$12</c:f>
              <c:numCache>
                <c:formatCode>General</c:formatCode>
                <c:ptCount val="11"/>
                <c:pt idx="0">
                  <c:v>18717</c:v>
                </c:pt>
                <c:pt idx="1">
                  <c:v>18715</c:v>
                </c:pt>
                <c:pt idx="2">
                  <c:v>18458</c:v>
                </c:pt>
                <c:pt idx="3">
                  <c:v>18481</c:v>
                </c:pt>
                <c:pt idx="4">
                  <c:v>18281</c:v>
                </c:pt>
                <c:pt idx="5">
                  <c:v>18250</c:v>
                </c:pt>
                <c:pt idx="6">
                  <c:v>17990</c:v>
                </c:pt>
                <c:pt idx="7">
                  <c:v>18017</c:v>
                </c:pt>
                <c:pt idx="8">
                  <c:v>17890</c:v>
                </c:pt>
                <c:pt idx="9">
                  <c:v>17619</c:v>
                </c:pt>
                <c:pt idx="10">
                  <c:v>17670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B16-4D81-8717-4F6955295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20001"/>
        <c:axId val="50020002"/>
      </c:scatterChart>
      <c:val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index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Indicator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238125</xdr:colOff>
      <xdr:row>13</xdr:row>
      <xdr:rowOff>95250</xdr:rowOff>
    </xdr:from>
    <xdr:to>
      <xdr:col>9</xdr:col>
      <xdr:colOff>1066800</xdr:colOff>
      <xdr:row>27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238125</xdr:colOff>
      <xdr:row>28</xdr:row>
      <xdr:rowOff>95250</xdr:rowOff>
    </xdr:from>
    <xdr:to>
      <xdr:col>9</xdr:col>
      <xdr:colOff>1066800</xdr:colOff>
      <xdr:row>42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3"/>
  <sheetViews>
    <sheetView tabSelected="1" zoomScale="85" zoomScaleNormal="85" workbookViewId="0">
      <selection activeCell="D33" sqref="D33"/>
    </sheetView>
  </sheetViews>
  <sheetFormatPr defaultRowHeight="15" x14ac:dyDescent="0.25"/>
  <cols>
    <col min="1" max="1" width="7.85546875" customWidth="1"/>
    <col min="2" max="2" width="24.85546875" customWidth="1"/>
    <col min="3" max="3" width="26.28515625" customWidth="1"/>
    <col min="4" max="4" width="42.7109375" customWidth="1"/>
    <col min="5" max="5" width="30.140625" customWidth="1"/>
    <col min="6" max="6" width="39.5703125" customWidth="1"/>
    <col min="7" max="7" width="38.85546875" customWidth="1"/>
    <col min="8" max="8" width="30.85546875" customWidth="1"/>
    <col min="9" max="9" width="38.5703125" customWidth="1"/>
    <col min="10" max="10" width="29.7109375" customWidth="1"/>
    <col min="11" max="11" width="40.5703125" customWidth="1"/>
    <col min="12" max="12" width="34.5703125" customWidth="1"/>
    <col min="13" max="13" width="19.42578125" customWidth="1"/>
    <col min="14" max="14" width="53.140625" customWidth="1"/>
    <col min="15" max="15" width="27.42578125" customWidth="1"/>
  </cols>
  <sheetData>
    <row r="1" spans="1:15" x14ac:dyDescent="0.25">
      <c r="A1" s="2" t="s">
        <v>23</v>
      </c>
      <c r="B1" s="2" t="s">
        <v>22</v>
      </c>
      <c r="C1" s="2" t="s">
        <v>0</v>
      </c>
      <c r="D1" s="2" t="s">
        <v>32</v>
      </c>
      <c r="E1" s="2" t="s">
        <v>1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24</v>
      </c>
      <c r="N1" s="2" t="s">
        <v>33</v>
      </c>
      <c r="O1" s="3" t="s">
        <v>34</v>
      </c>
    </row>
    <row r="2" spans="1:15" x14ac:dyDescent="0.25">
      <c r="A2" s="2">
        <v>2010</v>
      </c>
      <c r="B2" s="2">
        <v>18717</v>
      </c>
      <c r="C2" s="2">
        <v>1</v>
      </c>
      <c r="D2" s="2">
        <f t="shared" ref="D2:D12" si="0">C2^2</f>
        <v>1</v>
      </c>
      <c r="E2" s="2">
        <f t="shared" ref="E2:E12" si="1">C2*B2</f>
        <v>18717</v>
      </c>
      <c r="F2" s="2">
        <f t="shared" ref="F2:F12" si="2">B2-$B$2</f>
        <v>0</v>
      </c>
      <c r="G2" s="2"/>
      <c r="H2" s="4">
        <f t="shared" ref="H2:H12" si="3">B2/$B$2*100</f>
        <v>100</v>
      </c>
      <c r="I2" s="4"/>
      <c r="J2" s="4">
        <f t="shared" ref="J2:J12" si="4">(B2-$B$2)/$B$2*100</f>
        <v>0</v>
      </c>
      <c r="K2" s="4"/>
      <c r="L2" s="4">
        <f t="shared" ref="L2:L12" si="5">$C$20 + $C$19*C2</f>
        <v>18759.909090909092</v>
      </c>
      <c r="M2" s="4">
        <f t="shared" ref="M2:M12" si="6">B2-L2</f>
        <v>-42.909090909091901</v>
      </c>
      <c r="N2" s="4">
        <f t="shared" ref="N2:N12" si="7">M2^2</f>
        <v>1841.1900826447134</v>
      </c>
      <c r="O2" s="4"/>
    </row>
    <row r="3" spans="1:15" x14ac:dyDescent="0.25">
      <c r="A3" s="2">
        <v>2011</v>
      </c>
      <c r="B3" s="2">
        <v>18715</v>
      </c>
      <c r="C3" s="2">
        <v>2</v>
      </c>
      <c r="D3" s="2">
        <f t="shared" si="0"/>
        <v>4</v>
      </c>
      <c r="E3" s="2">
        <f t="shared" si="1"/>
        <v>37430</v>
      </c>
      <c r="F3" s="2">
        <f t="shared" si="2"/>
        <v>-2</v>
      </c>
      <c r="G3" s="2">
        <f t="shared" ref="G3:G12" si="8">B3-B2</f>
        <v>-2</v>
      </c>
      <c r="H3" s="4">
        <f>B3/$B$2*100</f>
        <v>99.989314526900671</v>
      </c>
      <c r="I3" s="4">
        <f t="shared" ref="I3:I12" si="9">B3/B2*100</f>
        <v>99.989314526900671</v>
      </c>
      <c r="J3" s="4">
        <f t="shared" si="4"/>
        <v>-1.0685473099321472E-2</v>
      </c>
      <c r="K3" s="4">
        <f t="shared" ref="K3:K12" si="10">(B3-B2)/B2*100</f>
        <v>-1.0685473099321472E-2</v>
      </c>
      <c r="L3" s="4">
        <f t="shared" si="5"/>
        <v>18645.890909090907</v>
      </c>
      <c r="M3" s="4">
        <f t="shared" si="6"/>
        <v>69.109090909092629</v>
      </c>
      <c r="N3" s="4">
        <f t="shared" si="7"/>
        <v>4776.0664462812292</v>
      </c>
      <c r="O3" s="4">
        <f t="shared" ref="O3:O12" si="11">B3/B2</f>
        <v>0.99989314526900674</v>
      </c>
    </row>
    <row r="4" spans="1:15" x14ac:dyDescent="0.25">
      <c r="A4" s="2">
        <v>2012</v>
      </c>
      <c r="B4" s="2">
        <v>18458</v>
      </c>
      <c r="C4" s="2">
        <v>3</v>
      </c>
      <c r="D4" s="2">
        <f t="shared" si="0"/>
        <v>9</v>
      </c>
      <c r="E4" s="2">
        <f t="shared" si="1"/>
        <v>55374</v>
      </c>
      <c r="F4" s="2">
        <f t="shared" si="2"/>
        <v>-259</v>
      </c>
      <c r="G4" s="2">
        <f t="shared" si="8"/>
        <v>-257</v>
      </c>
      <c r="H4" s="4">
        <f t="shared" si="3"/>
        <v>98.616231233637876</v>
      </c>
      <c r="I4" s="4">
        <f t="shared" si="9"/>
        <v>98.626769970611804</v>
      </c>
      <c r="J4" s="4">
        <f t="shared" si="4"/>
        <v>-1.3837687663621308</v>
      </c>
      <c r="K4" s="4">
        <f t="shared" si="10"/>
        <v>-1.3732300293881914</v>
      </c>
      <c r="L4" s="4">
        <f t="shared" si="5"/>
        <v>18531.872727272726</v>
      </c>
      <c r="M4" s="4">
        <f t="shared" si="6"/>
        <v>-73.872727272726479</v>
      </c>
      <c r="N4" s="4">
        <f t="shared" si="7"/>
        <v>5457.1798347106269</v>
      </c>
      <c r="O4" s="4">
        <f t="shared" si="11"/>
        <v>0.98626769970611805</v>
      </c>
    </row>
    <row r="5" spans="1:15" x14ac:dyDescent="0.25">
      <c r="A5" s="2">
        <v>2013</v>
      </c>
      <c r="B5" s="2">
        <v>18481</v>
      </c>
      <c r="C5" s="2">
        <v>4</v>
      </c>
      <c r="D5" s="2">
        <f t="shared" si="0"/>
        <v>16</v>
      </c>
      <c r="E5" s="2">
        <f t="shared" si="1"/>
        <v>73924</v>
      </c>
      <c r="F5" s="2">
        <f t="shared" si="2"/>
        <v>-236</v>
      </c>
      <c r="G5" s="2">
        <f t="shared" si="8"/>
        <v>23</v>
      </c>
      <c r="H5" s="4">
        <f t="shared" si="3"/>
        <v>98.739114174280061</v>
      </c>
      <c r="I5" s="4">
        <f t="shared" si="9"/>
        <v>100.12460721638314</v>
      </c>
      <c r="J5" s="4">
        <f t="shared" si="4"/>
        <v>-1.2608858257199338</v>
      </c>
      <c r="K5" s="4">
        <f t="shared" si="10"/>
        <v>0.12460721638314011</v>
      </c>
      <c r="L5" s="4">
        <f t="shared" si="5"/>
        <v>18417.854545454546</v>
      </c>
      <c r="M5" s="4">
        <f t="shared" si="6"/>
        <v>63.145454545454413</v>
      </c>
      <c r="N5" s="4">
        <f t="shared" si="7"/>
        <v>3987.3484297520495</v>
      </c>
      <c r="O5" s="4">
        <f t="shared" si="11"/>
        <v>1.0012460721638314</v>
      </c>
    </row>
    <row r="6" spans="1:15" x14ac:dyDescent="0.25">
      <c r="A6" s="2">
        <v>2014</v>
      </c>
      <c r="B6" s="2">
        <v>18281</v>
      </c>
      <c r="C6" s="2">
        <v>5</v>
      </c>
      <c r="D6" s="2">
        <f t="shared" si="0"/>
        <v>25</v>
      </c>
      <c r="E6" s="2">
        <f t="shared" si="1"/>
        <v>91405</v>
      </c>
      <c r="F6" s="2">
        <f t="shared" si="2"/>
        <v>-436</v>
      </c>
      <c r="G6" s="2">
        <f t="shared" si="8"/>
        <v>-200</v>
      </c>
      <c r="H6" s="4">
        <f t="shared" si="3"/>
        <v>97.670566864347919</v>
      </c>
      <c r="I6" s="4">
        <f t="shared" si="9"/>
        <v>98.917807477950319</v>
      </c>
      <c r="J6" s="4">
        <f t="shared" si="4"/>
        <v>-2.329433135652081</v>
      </c>
      <c r="K6" s="4">
        <f t="shared" si="10"/>
        <v>-1.0821925220496726</v>
      </c>
      <c r="L6" s="4">
        <f t="shared" si="5"/>
        <v>18303.836363636365</v>
      </c>
      <c r="M6" s="4">
        <f t="shared" si="6"/>
        <v>-22.836363636364695</v>
      </c>
      <c r="N6" s="4">
        <f t="shared" si="7"/>
        <v>521.49950413227975</v>
      </c>
      <c r="O6" s="4">
        <f t="shared" si="11"/>
        <v>0.98917807477950326</v>
      </c>
    </row>
    <row r="7" spans="1:15" x14ac:dyDescent="0.25">
      <c r="A7" s="2">
        <v>2015</v>
      </c>
      <c r="B7" s="2">
        <v>18250</v>
      </c>
      <c r="C7" s="2">
        <v>6</v>
      </c>
      <c r="D7" s="2">
        <f t="shared" si="0"/>
        <v>36</v>
      </c>
      <c r="E7" s="2">
        <f t="shared" si="1"/>
        <v>109500</v>
      </c>
      <c r="F7" s="2">
        <f t="shared" si="2"/>
        <v>-467</v>
      </c>
      <c r="G7" s="2">
        <f t="shared" si="8"/>
        <v>-31</v>
      </c>
      <c r="H7" s="4">
        <f t="shared" si="3"/>
        <v>97.504942031308445</v>
      </c>
      <c r="I7" s="4">
        <f t="shared" si="9"/>
        <v>99.830425031453416</v>
      </c>
      <c r="J7" s="4">
        <f t="shared" si="4"/>
        <v>-2.4950579686915639</v>
      </c>
      <c r="K7" s="4">
        <f t="shared" si="10"/>
        <v>-0.16957496854657841</v>
      </c>
      <c r="L7" s="4">
        <f t="shared" si="5"/>
        <v>18189.81818181818</v>
      </c>
      <c r="M7" s="4">
        <f t="shared" si="6"/>
        <v>60.181818181819835</v>
      </c>
      <c r="N7" s="4">
        <f t="shared" si="7"/>
        <v>3621.8512396696206</v>
      </c>
      <c r="O7" s="4">
        <f t="shared" si="11"/>
        <v>0.99830425031453418</v>
      </c>
    </row>
    <row r="8" spans="1:15" x14ac:dyDescent="0.25">
      <c r="A8" s="2">
        <v>2016</v>
      </c>
      <c r="B8" s="2">
        <v>17990</v>
      </c>
      <c r="C8" s="2">
        <v>7</v>
      </c>
      <c r="D8" s="2">
        <f t="shared" si="0"/>
        <v>49</v>
      </c>
      <c r="E8" s="2">
        <f t="shared" si="1"/>
        <v>125930</v>
      </c>
      <c r="F8" s="2">
        <f t="shared" si="2"/>
        <v>-727</v>
      </c>
      <c r="G8" s="2">
        <f t="shared" si="8"/>
        <v>-260</v>
      </c>
      <c r="H8" s="4">
        <f t="shared" si="3"/>
        <v>96.115830528396643</v>
      </c>
      <c r="I8" s="4">
        <f t="shared" si="9"/>
        <v>98.575342465753423</v>
      </c>
      <c r="J8" s="4">
        <f t="shared" si="4"/>
        <v>-3.8841694716033555</v>
      </c>
      <c r="K8" s="4">
        <f t="shared" si="10"/>
        <v>-1.4246575342465753</v>
      </c>
      <c r="L8" s="4">
        <f t="shared" si="5"/>
        <v>18075.8</v>
      </c>
      <c r="M8" s="4">
        <f t="shared" si="6"/>
        <v>-85.799999999999272</v>
      </c>
      <c r="N8" s="4">
        <f t="shared" si="7"/>
        <v>7361.6399999998748</v>
      </c>
      <c r="O8" s="4">
        <f t="shared" si="11"/>
        <v>0.98575342465753424</v>
      </c>
    </row>
    <row r="9" spans="1:15" x14ac:dyDescent="0.25">
      <c r="A9" s="2">
        <v>2017</v>
      </c>
      <c r="B9" s="2">
        <v>18017</v>
      </c>
      <c r="C9" s="2">
        <v>8</v>
      </c>
      <c r="D9" s="2">
        <f t="shared" si="0"/>
        <v>64</v>
      </c>
      <c r="E9" s="2">
        <f t="shared" si="1"/>
        <v>144136</v>
      </c>
      <c r="F9" s="2">
        <f t="shared" si="2"/>
        <v>-700</v>
      </c>
      <c r="G9" s="2">
        <f t="shared" si="8"/>
        <v>27</v>
      </c>
      <c r="H9" s="4">
        <f t="shared" si="3"/>
        <v>96.260084415237486</v>
      </c>
      <c r="I9" s="4">
        <f t="shared" si="9"/>
        <v>100.15008337965537</v>
      </c>
      <c r="J9" s="4">
        <f t="shared" si="4"/>
        <v>-3.7399155847625156</v>
      </c>
      <c r="K9" s="4">
        <f t="shared" si="10"/>
        <v>0.15008337965536411</v>
      </c>
      <c r="L9" s="4">
        <f t="shared" si="5"/>
        <v>17961.781818181818</v>
      </c>
      <c r="M9" s="4">
        <f t="shared" si="6"/>
        <v>55.21818181818162</v>
      </c>
      <c r="N9" s="4">
        <f t="shared" si="7"/>
        <v>3049.047603305763</v>
      </c>
      <c r="O9" s="4">
        <f t="shared" si="11"/>
        <v>1.0015008337965536</v>
      </c>
    </row>
    <row r="10" spans="1:15" x14ac:dyDescent="0.25">
      <c r="A10" s="2">
        <v>2018</v>
      </c>
      <c r="B10" s="2">
        <v>17890</v>
      </c>
      <c r="C10" s="2">
        <v>9</v>
      </c>
      <c r="D10" s="2">
        <f t="shared" si="0"/>
        <v>81</v>
      </c>
      <c r="E10" s="2">
        <f t="shared" si="1"/>
        <v>161010</v>
      </c>
      <c r="F10" s="2">
        <f t="shared" si="2"/>
        <v>-827</v>
      </c>
      <c r="G10" s="2">
        <f t="shared" si="8"/>
        <v>-127</v>
      </c>
      <c r="H10" s="4">
        <f t="shared" si="3"/>
        <v>95.581556873430571</v>
      </c>
      <c r="I10" s="4">
        <f t="shared" si="9"/>
        <v>99.295110173724822</v>
      </c>
      <c r="J10" s="4">
        <f t="shared" si="4"/>
        <v>-4.4184431265694286</v>
      </c>
      <c r="K10" s="4">
        <f t="shared" si="10"/>
        <v>-0.70488982627518448</v>
      </c>
      <c r="L10" s="4">
        <f t="shared" si="5"/>
        <v>17847.763636363637</v>
      </c>
      <c r="M10" s="4">
        <f t="shared" si="6"/>
        <v>42.236363636362512</v>
      </c>
      <c r="N10" s="4">
        <f t="shared" si="7"/>
        <v>1783.9104132230455</v>
      </c>
      <c r="O10" s="4">
        <f t="shared" si="11"/>
        <v>0.99295110173724821</v>
      </c>
    </row>
    <row r="11" spans="1:15" x14ac:dyDescent="0.25">
      <c r="A11" s="2">
        <v>2019</v>
      </c>
      <c r="B11" s="2">
        <v>17619</v>
      </c>
      <c r="C11" s="2">
        <v>10</v>
      </c>
      <c r="D11" s="2">
        <f t="shared" si="0"/>
        <v>100</v>
      </c>
      <c r="E11" s="2">
        <f t="shared" si="1"/>
        <v>176190</v>
      </c>
      <c r="F11" s="2">
        <f t="shared" si="2"/>
        <v>-1098</v>
      </c>
      <c r="G11" s="2">
        <f t="shared" si="8"/>
        <v>-271</v>
      </c>
      <c r="H11" s="4">
        <f t="shared" si="3"/>
        <v>94.133675268472516</v>
      </c>
      <c r="I11" s="4">
        <f t="shared" si="9"/>
        <v>98.485187255449972</v>
      </c>
      <c r="J11" s="4">
        <f t="shared" si="4"/>
        <v>-5.866324731527488</v>
      </c>
      <c r="K11" s="4">
        <f t="shared" si="10"/>
        <v>-1.5148127445500279</v>
      </c>
      <c r="L11" s="4">
        <f t="shared" si="5"/>
        <v>17733.745454545453</v>
      </c>
      <c r="M11" s="4">
        <f t="shared" si="6"/>
        <v>-114.74545454545296</v>
      </c>
      <c r="N11" s="4">
        <f t="shared" si="7"/>
        <v>13166.519338842611</v>
      </c>
      <c r="O11" s="4">
        <f t="shared" si="11"/>
        <v>0.98485187255449969</v>
      </c>
    </row>
    <row r="12" spans="1:15" x14ac:dyDescent="0.25">
      <c r="A12" s="2">
        <v>2020</v>
      </c>
      <c r="B12" s="2">
        <v>17670</v>
      </c>
      <c r="C12" s="2">
        <v>11</v>
      </c>
      <c r="D12" s="2">
        <f t="shared" si="0"/>
        <v>121</v>
      </c>
      <c r="E12" s="2">
        <f t="shared" si="1"/>
        <v>194370</v>
      </c>
      <c r="F12" s="2">
        <f t="shared" si="2"/>
        <v>-1047</v>
      </c>
      <c r="G12" s="2">
        <f t="shared" si="8"/>
        <v>51</v>
      </c>
      <c r="H12" s="4">
        <f t="shared" si="3"/>
        <v>94.406154832505209</v>
      </c>
      <c r="I12" s="4">
        <f t="shared" si="9"/>
        <v>100.28946024178444</v>
      </c>
      <c r="J12" s="4">
        <f t="shared" si="4"/>
        <v>-5.5938451674947913</v>
      </c>
      <c r="K12" s="4">
        <f t="shared" si="10"/>
        <v>0.28946024178443724</v>
      </c>
      <c r="L12" s="4">
        <f t="shared" si="5"/>
        <v>17619.727272727272</v>
      </c>
      <c r="M12" s="4">
        <f t="shared" si="6"/>
        <v>50.272727272727934</v>
      </c>
      <c r="N12" s="4">
        <f t="shared" si="7"/>
        <v>2527.3471074380832</v>
      </c>
      <c r="O12" s="4">
        <f t="shared" si="11"/>
        <v>1.0028946024178444</v>
      </c>
    </row>
    <row r="14" spans="1:15" x14ac:dyDescent="0.25">
      <c r="A14" t="s">
        <v>2</v>
      </c>
      <c r="C14" s="1">
        <f>SUM(C2:C12)</f>
        <v>66</v>
      </c>
    </row>
    <row r="15" spans="1:15" x14ac:dyDescent="0.25">
      <c r="A15" t="s">
        <v>21</v>
      </c>
      <c r="C15" s="1">
        <f>SUM(B2:B12)</f>
        <v>200088</v>
      </c>
    </row>
    <row r="16" spans="1:15" x14ac:dyDescent="0.25">
      <c r="A16" t="s">
        <v>20</v>
      </c>
      <c r="C16" s="1">
        <f>SUM(D2:D12)</f>
        <v>506</v>
      </c>
    </row>
    <row r="17" spans="1:3" x14ac:dyDescent="0.25">
      <c r="A17" t="s">
        <v>19</v>
      </c>
      <c r="C17" s="1">
        <f>SUM(E2:E12)</f>
        <v>1187986</v>
      </c>
    </row>
    <row r="18" spans="1:3" x14ac:dyDescent="0.25">
      <c r="A18" t="s">
        <v>18</v>
      </c>
      <c r="C18" s="1">
        <f>COUNT(B2:B12)</f>
        <v>11</v>
      </c>
    </row>
    <row r="19" spans="1:3" x14ac:dyDescent="0.25">
      <c r="A19" t="s">
        <v>17</v>
      </c>
      <c r="C19" s="1">
        <f>($C$18*$C$17 - $C$14*$C$15)/($C$18*$C$16 - $C$14^2)</f>
        <v>-114.01818181818182</v>
      </c>
    </row>
    <row r="20" spans="1:3" x14ac:dyDescent="0.25">
      <c r="A20" t="s">
        <v>16</v>
      </c>
      <c r="C20" s="1">
        <f>($C$15 - $C$19*$C$14)/$C$18</f>
        <v>18873.927272727273</v>
      </c>
    </row>
    <row r="21" spans="1:3" x14ac:dyDescent="0.25">
      <c r="A21" t="s">
        <v>15</v>
      </c>
      <c r="C21" s="1">
        <f>AVERAGE(B2:B12)</f>
        <v>18189.81818181818</v>
      </c>
    </row>
    <row r="22" spans="1:3" x14ac:dyDescent="0.25">
      <c r="A22" t="s">
        <v>14</v>
      </c>
      <c r="C22" s="1">
        <f>(B12-B2)/($C$18-1)</f>
        <v>-104.7</v>
      </c>
    </row>
    <row r="23" spans="1:3" x14ac:dyDescent="0.25">
      <c r="A23" t="s">
        <v>13</v>
      </c>
      <c r="C23" s="1">
        <f>GEOMEAN(O3:O12)*100</f>
        <v>99.426014473032666</v>
      </c>
    </row>
    <row r="24" spans="1:3" x14ac:dyDescent="0.25">
      <c r="A24" t="s">
        <v>12</v>
      </c>
      <c r="C24" s="1">
        <f>$C$23 - 100</f>
        <v>-0.57398552696733418</v>
      </c>
    </row>
    <row r="25" spans="1:3" x14ac:dyDescent="0.25">
      <c r="A25" t="s">
        <v>11</v>
      </c>
      <c r="C25" s="1">
        <f>MAX(B2:B12)-MIN(B2:B12)</f>
        <v>1098</v>
      </c>
    </row>
    <row r="26" spans="1:3" x14ac:dyDescent="0.25">
      <c r="A26" t="s">
        <v>10</v>
      </c>
      <c r="C26" s="1">
        <f>_xlfn.STDEV.P(B2:B12)/AVERAGE(B2:B12)*100</f>
        <v>2.015248578744679</v>
      </c>
    </row>
    <row r="27" spans="1:3" x14ac:dyDescent="0.25">
      <c r="A27" t="s">
        <v>9</v>
      </c>
      <c r="C27" s="1">
        <f>SQRT(SUM(N2:N12)/$C$18)</f>
        <v>66.122200920306994</v>
      </c>
    </row>
    <row r="28" spans="1:3" x14ac:dyDescent="0.25">
      <c r="A28" t="s">
        <v>8</v>
      </c>
      <c r="C28" s="1">
        <f>$C$20 + $C$19*($C$18+1)</f>
        <v>17505.709090909091</v>
      </c>
    </row>
    <row r="29" spans="1:3" x14ac:dyDescent="0.25">
      <c r="A29" t="s">
        <v>7</v>
      </c>
      <c r="C29" s="1">
        <f>$C$20 + $C$19*($C$18+2)</f>
        <v>17391.69090909091</v>
      </c>
    </row>
    <row r="30" spans="1:3" x14ac:dyDescent="0.25">
      <c r="A30" t="s">
        <v>6</v>
      </c>
      <c r="C30" s="1">
        <f>$C$28 - $C$27</f>
        <v>17439.586889988783</v>
      </c>
    </row>
    <row r="31" spans="1:3" x14ac:dyDescent="0.25">
      <c r="A31" t="s">
        <v>5</v>
      </c>
      <c r="C31" s="1">
        <f>$C$28 + $C$27</f>
        <v>17571.8312918294</v>
      </c>
    </row>
    <row r="32" spans="1:3" x14ac:dyDescent="0.25">
      <c r="A32" t="s">
        <v>4</v>
      </c>
      <c r="C32" s="1">
        <f>$C$29 - $C$27</f>
        <v>17325.568708170602</v>
      </c>
    </row>
    <row r="33" spans="1:3" x14ac:dyDescent="0.25">
      <c r="A33" t="s">
        <v>3</v>
      </c>
      <c r="C33" s="1">
        <f>$C$29 + $C$27</f>
        <v>17457.813110011219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prod ed1ct</cp:lastModifiedBy>
  <dcterms:created xsi:type="dcterms:W3CDTF">2025-12-12T11:53:58Z</dcterms:created>
  <dcterms:modified xsi:type="dcterms:W3CDTF">2025-12-12T17:35:20Z</dcterms:modified>
</cp:coreProperties>
</file>