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IN FOLDER\Lab\OC\OC 2\2-3 OC\"/>
    </mc:Choice>
  </mc:AlternateContent>
  <xr:revisionPtr revIDLastSave="0" documentId="13_ncr:1_{A0D57BDA-1C2C-4648-8495-A09CC825F40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AY38" i="2"/>
  <c r="AR38" i="2"/>
  <c r="AK38" i="2"/>
  <c r="AD38" i="2"/>
  <c r="AY25" i="2"/>
  <c r="AR25" i="2"/>
  <c r="AK25" i="2"/>
  <c r="AD25" i="2"/>
  <c r="AY12" i="2"/>
  <c r="AR12" i="2"/>
  <c r="AK12" i="2"/>
  <c r="AD12" i="2"/>
  <c r="W38" i="2"/>
  <c r="P38" i="2"/>
  <c r="W25" i="2"/>
  <c r="P25" i="2"/>
  <c r="W12" i="2"/>
  <c r="P12" i="2"/>
  <c r="I38" i="2"/>
  <c r="B38" i="2"/>
  <c r="I25" i="2"/>
  <c r="B25" i="2"/>
  <c r="I12" i="2"/>
  <c r="E6" i="1"/>
  <c r="E5" i="1"/>
  <c r="B5" i="1" s="1"/>
  <c r="E4" i="1"/>
  <c r="B4" i="1" s="1"/>
  <c r="B3" i="1"/>
  <c r="B6" i="1"/>
  <c r="B7" i="1"/>
  <c r="B8" i="1"/>
  <c r="B2" i="1"/>
  <c r="B12" i="1" l="1"/>
</calcChain>
</file>

<file path=xl/sharedStrings.xml><?xml version="1.0" encoding="utf-8"?>
<sst xmlns="http://schemas.openxmlformats.org/spreadsheetml/2006/main" count="211" uniqueCount="15">
  <si>
    <t>t поступления</t>
  </si>
  <si>
    <t>t завершения</t>
  </si>
  <si>
    <t>№ п/п</t>
  </si>
  <si>
    <t>T выполнения</t>
  </si>
  <si>
    <t xml:space="preserve">Средневзвешенное время обращения </t>
  </si>
  <si>
    <t>Взвешенное время обращения</t>
  </si>
  <si>
    <t>Максимальный коэффициент мультипрограммирования</t>
  </si>
  <si>
    <t>PACK</t>
  </si>
  <si>
    <t>NE PACK</t>
  </si>
  <si>
    <t>LIFO</t>
  </si>
  <si>
    <t>PRT</t>
  </si>
  <si>
    <t>CON</t>
  </si>
  <si>
    <t>SHORT</t>
  </si>
  <si>
    <t>LONG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</si>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</sst>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/>
    <xf numFmtId="2" fontId="1" fillId="0" borderId="1" xfId="0" applyNumberFormat="1" applyFont="1" applyBorder="1"/>
    <xf numFmtId="0" fontId="2" fillId="2" borderId="1" xfId="0" applyFont="1" applyFill="1" applyBorder="1" applyAlignment="1">
      <alignment wrapText="1"/>
    </xf>
    <xf numFmtId="0" fontId="1" fillId="0" borderId="0" xfId="0" applyFont="1" applyBorder="1"/>
    <xf numFmtId="2" fontId="1" fillId="0" borderId="0" xfId="0" applyNumberFormat="1" applyFont="1" applyBorder="1"/>
    <xf numFmtId="2" fontId="3" fillId="3" borderId="1" xfId="0" applyNumberFormat="1" applyFont="1" applyFill="1" applyBorder="1"/>
    <xf numFmtId="0" fontId="3" fillId="3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1" fillId="0" borderId="2" xfId="0" applyFont="1" applyFill="1" applyBorder="1"/>
    <xf numFmtId="0" fontId="4" fillId="4" borderId="0" xfId="1"/>
    <xf numFmtId="0" fontId="0" fillId="0" borderId="0" xfId="0"/>
    <xf numFmtId="0" fontId="4" fillId="0" borderId="0" xfId="0" applyFont="1"/>
    <xf numFmtId="0" fontId="4" fillId="4" borderId="0" xfId="1" applyAlignment="1">
      <alignment horizontal="center" vertical="center"/>
    </xf>
    <xf numFmtId="0" fontId="1" fillId="0" borderId="3" xfId="0" applyFont="1" applyBorder="1"/>
    <xf numFmtId="0" fontId="0" fillId="0" borderId="0" xfId="0" applyBorder="1"/>
    <xf numFmtId="0" fontId="1" fillId="0" borderId="0" xfId="0" applyFont="1" applyFill="1" applyBorder="1"/>
    <xf numFmtId="0" fontId="5" fillId="3" borderId="0" xfId="0" applyFont="1" applyFill="1" applyBorder="1"/>
    <xf numFmtId="2" fontId="5" fillId="3" borderId="0" xfId="0" applyNumberFormat="1" applyFont="1" applyFill="1" applyBorder="1"/>
    <xf numFmtId="0" fontId="0" fillId="3" borderId="0" xfId="0" applyFont="1" applyFill="1"/>
    <xf numFmtId="0" fontId="0" fillId="0" borderId="0" xfId="0" applyFont="1"/>
    <xf numFmtId="0" fontId="6" fillId="3" borderId="0" xfId="0" applyFont="1" applyFill="1" applyBorder="1"/>
    <xf numFmtId="0" fontId="0" fillId="3" borderId="0" xfId="0" applyFont="1" applyFill="1" applyBorder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Font="1"/>
  </cellXfs>
  <cellStyles count="2">
    <cellStyle name="Акцент2" xfId="1" builtinId="33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SHORT PACK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Лист2!$B$42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Лист2!$H$41:$J$41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Лист2!$C$42:$E$42</c:f>
              <c:numCache>
                <c:formatCode>0.00</c:formatCode>
                <c:ptCount val="3"/>
                <c:pt idx="0">
                  <c:v>1.8128571428571427</c:v>
                </c:pt>
                <c:pt idx="1">
                  <c:v>1.94</c:v>
                </c:pt>
                <c:pt idx="2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1-442D-B673-186069ADAE40}"/>
            </c:ext>
          </c:extLst>
        </c:ser>
        <c:ser>
          <c:idx val="1"/>
          <c:order val="1"/>
          <c:tx>
            <c:strRef>
              <c:f>Лист2!$B$43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Лист2!$H$41:$J$41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Лист2!$C$43:$E$43</c:f>
              <c:numCache>
                <c:formatCode>General</c:formatCode>
                <c:ptCount val="3"/>
                <c:pt idx="0" formatCode="0.00">
                  <c:v>2.5499999999999998</c:v>
                </c:pt>
                <c:pt idx="1">
                  <c:v>2.13</c:v>
                </c:pt>
                <c:pt idx="2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1-442D-B673-186069ADA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94559"/>
        <c:axId val="98764735"/>
      </c:lineChart>
      <c:catAx>
        <c:axId val="30049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764735"/>
        <c:crosses val="autoZero"/>
        <c:auto val="1"/>
        <c:lblAlgn val="ctr"/>
        <c:lblOffset val="100"/>
        <c:noMultiLvlLbl val="0"/>
      </c:catAx>
      <c:valAx>
        <c:axId val="987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049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SHORT STREAM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Лист2!$G$42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Лист2!$H$41:$J$41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Лист2!$H$42:$J$42</c:f>
              <c:numCache>
                <c:formatCode>0.00</c:formatCode>
                <c:ptCount val="3"/>
                <c:pt idx="0">
                  <c:v>1.77</c:v>
                </c:pt>
                <c:pt idx="1">
                  <c:v>1.76</c:v>
                </c:pt>
                <c:pt idx="2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F-4DA9-A1C0-B9A47E1354C9}"/>
            </c:ext>
          </c:extLst>
        </c:ser>
        <c:ser>
          <c:idx val="1"/>
          <c:order val="1"/>
          <c:tx>
            <c:strRef>
              <c:f>Лист2!$G$43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Лист2!$H$41:$J$41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Лист2!$H$43:$J$43</c:f>
              <c:numCache>
                <c:formatCode>General</c:formatCode>
                <c:ptCount val="3"/>
                <c:pt idx="0" formatCode="0.00">
                  <c:v>2.09</c:v>
                </c:pt>
                <c:pt idx="1">
                  <c:v>1.77</c:v>
                </c:pt>
                <c:pt idx="2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2F-4DA9-A1C0-B9A47E135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868863"/>
        <c:axId val="277862623"/>
      </c:lineChart>
      <c:catAx>
        <c:axId val="2778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862623"/>
        <c:crosses val="autoZero"/>
        <c:auto val="1"/>
        <c:lblAlgn val="ctr"/>
        <c:lblOffset val="100"/>
        <c:noMultiLvlLbl val="0"/>
      </c:catAx>
      <c:valAx>
        <c:axId val="2778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86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</a:t>
            </a:r>
            <a:r>
              <a:rPr lang="en-US" baseline="0"/>
              <a:t> PACK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Лист2!$B$47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Лист2!$C$46:$E$46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Лист2!$C$47:$E$47</c:f>
              <c:numCache>
                <c:formatCode>0.00</c:formatCode>
                <c:ptCount val="3"/>
                <c:pt idx="0">
                  <c:v>1.63</c:v>
                </c:pt>
                <c:pt idx="1">
                  <c:v>1.45</c:v>
                </c:pt>
                <c:pt idx="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3-4BAD-828B-0AEB3C79641E}"/>
            </c:ext>
          </c:extLst>
        </c:ser>
        <c:ser>
          <c:idx val="1"/>
          <c:order val="1"/>
          <c:tx>
            <c:strRef>
              <c:f>Лист2!$B$48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Лист2!$C$46:$E$46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Лист2!$C$48:$E$48</c:f>
              <c:numCache>
                <c:formatCode>General</c:formatCode>
                <c:ptCount val="3"/>
                <c:pt idx="0" formatCode="0.00">
                  <c:v>1.63</c:v>
                </c:pt>
                <c:pt idx="1">
                  <c:v>1.57</c:v>
                </c:pt>
                <c:pt idx="2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3-4BAD-828B-0AEB3C796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507999"/>
        <c:axId val="300497439"/>
      </c:lineChart>
      <c:catAx>
        <c:axId val="30050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0497439"/>
        <c:crosses val="autoZero"/>
        <c:auto val="1"/>
        <c:lblAlgn val="ctr"/>
        <c:lblOffset val="100"/>
        <c:noMultiLvlLbl val="0"/>
      </c:catAx>
      <c:valAx>
        <c:axId val="3004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050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</a:t>
            </a:r>
            <a:r>
              <a:rPr lang="en-US" baseline="0"/>
              <a:t> 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Лист2!$G$52:$G$53</c:f>
              <c:strCache>
                <c:ptCount val="1"/>
                <c:pt idx="0">
                  <c:v>LIFO PRT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Лист2!$H$51:$J$51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Лист2!$H$47:$J$47</c:f>
              <c:numCache>
                <c:formatCode>0.00</c:formatCode>
                <c:ptCount val="3"/>
                <c:pt idx="0">
                  <c:v>1.6</c:v>
                </c:pt>
                <c:pt idx="1">
                  <c:v>1.58</c:v>
                </c:pt>
                <c:pt idx="2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E-43C0-BAE2-B2F51427B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877023"/>
        <c:axId val="277877503"/>
      </c:lineChart>
      <c:catAx>
        <c:axId val="27787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877503"/>
        <c:crosses val="autoZero"/>
        <c:auto val="1"/>
        <c:lblAlgn val="ctr"/>
        <c:lblOffset val="100"/>
        <c:noMultiLvlLbl val="0"/>
      </c:catAx>
      <c:valAx>
        <c:axId val="27787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87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SHORT PACK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Лист2!$B$52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Лист2!$C$51:$E$51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Лист2!$C$52:$E$52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1-439F-BEED-1260EDA0325D}"/>
            </c:ext>
          </c:extLst>
        </c:ser>
        <c:ser>
          <c:idx val="1"/>
          <c:order val="1"/>
          <c:tx>
            <c:strRef>
              <c:f>Лист2!$B$53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Лист2!$C$51:$E$51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Лист2!$C$53:$E$53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1-439F-BEED-1260EDA03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865695"/>
        <c:axId val="290859455"/>
      </c:lineChart>
      <c:catAx>
        <c:axId val="2908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859455"/>
        <c:crosses val="autoZero"/>
        <c:auto val="1"/>
        <c:lblAlgn val="ctr"/>
        <c:lblOffset val="100"/>
        <c:noMultiLvlLbl val="0"/>
      </c:catAx>
      <c:valAx>
        <c:axId val="29085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8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SHORT STREAM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Лист2!$G$52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Лист2!$H$51:$J$51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Лист2!$H$52:$J$52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2-40F0-9409-8517E3475523}"/>
            </c:ext>
          </c:extLst>
        </c:ser>
        <c:ser>
          <c:idx val="1"/>
          <c:order val="1"/>
          <c:tx>
            <c:strRef>
              <c:f>Лист2!$G$53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Лист2!$H$51:$J$51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Лист2!$H$53:$J$53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2-40F0-9409-8517E3475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867135"/>
        <c:axId val="290867615"/>
      </c:lineChart>
      <c:catAx>
        <c:axId val="2908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867615"/>
        <c:crosses val="autoZero"/>
        <c:auto val="1"/>
        <c:lblAlgn val="ctr"/>
        <c:lblOffset val="100"/>
        <c:noMultiLvlLbl val="0"/>
      </c:catAx>
      <c:valAx>
        <c:axId val="29086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8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 PACK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Лист2!$B$57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Лист2!$C$56:$E$56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Лист2!$C$57:$E$57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1-463F-A2DF-212710264A74}"/>
            </c:ext>
          </c:extLst>
        </c:ser>
        <c:ser>
          <c:idx val="1"/>
          <c:order val="1"/>
          <c:tx>
            <c:strRef>
              <c:f>Лист2!$B$58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Лист2!$C$56:$E$56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Лист2!$C$58:$E$58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1-463F-A2DF-212710264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859743"/>
        <c:axId val="277863103"/>
      </c:lineChart>
      <c:catAx>
        <c:axId val="2778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863103"/>
        <c:crosses val="autoZero"/>
        <c:auto val="1"/>
        <c:lblAlgn val="ctr"/>
        <c:lblOffset val="100"/>
        <c:noMultiLvlLbl val="0"/>
      </c:catAx>
      <c:valAx>
        <c:axId val="2778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8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 STREAM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Лист2!$G$57</c:f>
              <c:strCache>
                <c:ptCount val="1"/>
                <c:pt idx="0">
                  <c:v>LIFO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Лист2!$H$56:$J$56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Лист2!$H$57:$J$57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9-4F3F-89D1-AC49D4706DA4}"/>
            </c:ext>
          </c:extLst>
        </c:ser>
        <c:ser>
          <c:idx val="1"/>
          <c:order val="1"/>
          <c:tx>
            <c:strRef>
              <c:f>Лист2!$G$58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Лист2!$H$56:$J$56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16</c:v>
                </c:pt>
              </c:numCache>
            </c:numRef>
          </c:cat>
          <c:val>
            <c:numRef>
              <c:f>Лист2!$H$58:$J$58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9-4F3F-89D1-AC49D4706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876735"/>
        <c:axId val="290879615"/>
      </c:lineChart>
      <c:catAx>
        <c:axId val="29087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879615"/>
        <c:crosses val="autoZero"/>
        <c:auto val="1"/>
        <c:lblAlgn val="ctr"/>
        <c:lblOffset val="100"/>
        <c:noMultiLvlLbl val="0"/>
      </c:catAx>
      <c:valAx>
        <c:axId val="29087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8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123826</xdr:rowOff>
    </xdr:from>
    <xdr:to>
      <xdr:col>19</xdr:col>
      <xdr:colOff>456361</xdr:colOff>
      <xdr:row>10</xdr:row>
      <xdr:rowOff>438150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948" t="25371" r="27500" b="49351"/>
        <a:stretch>
          <a:fillRect/>
        </a:stretch>
      </xdr:blipFill>
      <xdr:spPr bwMode="auto">
        <a:xfrm>
          <a:off x="4057650" y="123826"/>
          <a:ext cx="8123986" cy="2714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8</xdr:col>
      <xdr:colOff>153497</xdr:colOff>
      <xdr:row>32</xdr:row>
      <xdr:rowOff>123826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00425"/>
          <a:ext cx="5173172" cy="37242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438150</xdr:colOff>
      <xdr:row>0</xdr:row>
      <xdr:rowOff>9525</xdr:rowOff>
    </xdr:from>
    <xdr:to>
      <xdr:col>26</xdr:col>
      <xdr:colOff>342900</xdr:colOff>
      <xdr:row>25</xdr:row>
      <xdr:rowOff>8756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163425" y="9525"/>
          <a:ext cx="4171950" cy="57428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180975</xdr:colOff>
      <xdr:row>10</xdr:row>
      <xdr:rowOff>514350</xdr:rowOff>
    </xdr:from>
    <xdr:to>
      <xdr:col>19</xdr:col>
      <xdr:colOff>400050</xdr:colOff>
      <xdr:row>34</xdr:row>
      <xdr:rowOff>85725</xdr:rowOff>
    </xdr:to>
    <xdr:grpSp>
      <xdr:nvGrpSpPr>
        <xdr:cNvPr id="22" name="Группа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5290170" y="2879178"/>
          <a:ext cx="6963213" cy="4447007"/>
          <a:chOff x="5172075" y="2819400"/>
          <a:chExt cx="6924675" cy="4629150"/>
        </a:xfrm>
      </xdr:grpSpPr>
      <xdr:grpSp>
        <xdr:nvGrpSpPr>
          <xdr:cNvPr id="20" name="Группа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5172075" y="2819400"/>
            <a:ext cx="6829425" cy="4629150"/>
            <a:chOff x="5172075" y="2814974"/>
            <a:chExt cx="6829425" cy="4561949"/>
          </a:xfrm>
        </xdr:grpSpPr>
        <xdr:pic>
          <xdr:nvPicPr>
            <xdr:cNvPr id="1032" name="Picture 8">
              <a:extLs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l="942" t="7441" r="2564" b="4355"/>
            <a:stretch>
              <a:fillRect/>
            </a:stretch>
          </xdr:blipFill>
          <xdr:spPr bwMode="auto">
            <a:xfrm>
              <a:off x="5172075" y="2814974"/>
              <a:ext cx="6829425" cy="4561949"/>
            </a:xfrm>
            <a:prstGeom prst="rect">
              <a:avLst/>
            </a:prstGeom>
            <a:ln>
              <a:noFill/>
            </a:ln>
            <a:effectLst>
              <a:outerShdw blurRad="190500" algn="tl" rotWithShape="0">
                <a:srgbClr val="000000">
                  <a:alpha val="70000"/>
                </a:srgbClr>
              </a:outerShdw>
            </a:effectLst>
          </xdr:spPr>
        </xdr:pic>
        <xdr:cxnSp macro="">
          <xdr:nvCxnSpPr>
            <xdr:cNvPr id="13" name="Прямая соединительная линия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CxnSpPr/>
          </xdr:nvCxnSpPr>
          <xdr:spPr>
            <a:xfrm rot="16200000" flipH="1">
              <a:off x="4770634" y="5128734"/>
              <a:ext cx="4336663" cy="9524"/>
            </a:xfrm>
            <a:prstGeom prst="line">
              <a:avLst/>
            </a:prstGeom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16" name="Овал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6829425" y="482917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sp macro="" textlink="">
          <xdr:nvSpPr>
            <xdr:cNvPr id="17" name="Овал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6829425" y="515302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sp macro="" textlink="">
          <xdr:nvSpPr>
            <xdr:cNvPr id="18" name="Овал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6848475" y="629602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  <xdr:sp macro="" textlink="">
          <xdr:nvSpPr>
            <xdr:cNvPr id="19" name="Овал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6848475" y="6600825"/>
              <a:ext cx="209550" cy="209550"/>
            </a:xfrm>
            <a:prstGeom prst="ellipse">
              <a:avLst/>
            </a:prstGeom>
            <a:noFill/>
            <a:ln w="38100"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ru-RU" sz="1100"/>
            </a:p>
          </xdr:txBody>
        </xdr:sp>
      </xdr:grp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6972300" y="3009900"/>
            <a:ext cx="5124450" cy="5810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ru-RU" sz="1400" b="1"/>
              <a:t>Максимальный коэффициент мультипрограммирования - наибольшее</a:t>
            </a:r>
            <a:r>
              <a:rPr lang="ru-RU" sz="1400" b="1" baseline="0"/>
              <a:t> </a:t>
            </a:r>
            <a:r>
              <a:rPr lang="ru-RU" sz="1400" b="1"/>
              <a:t>число одновременно обрабатываемых</a:t>
            </a:r>
            <a:r>
              <a:rPr lang="ru-RU" sz="1400" b="1" baseline="0"/>
              <a:t> процессов</a:t>
            </a:r>
            <a:endParaRPr lang="ru-RU" sz="1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288637</xdr:colOff>
      <xdr:row>39</xdr:row>
      <xdr:rowOff>88179</xdr:rowOff>
    </xdr:from>
    <xdr:to>
      <xdr:col>20</xdr:col>
      <xdr:colOff>311728</xdr:colOff>
      <xdr:row>49</xdr:row>
      <xdr:rowOff>642072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75C465F-67CB-8790-587B-D723EBA94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178955</xdr:colOff>
      <xdr:row>39</xdr:row>
      <xdr:rowOff>54263</xdr:rowOff>
    </xdr:from>
    <xdr:to>
      <xdr:col>28</xdr:col>
      <xdr:colOff>467591</xdr:colOff>
      <xdr:row>49</xdr:row>
      <xdr:rowOff>580736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B42E1EC-10C1-680D-77AD-A047F6EA6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259774</xdr:colOff>
      <xdr:row>49</xdr:row>
      <xdr:rowOff>897082</xdr:rowOff>
    </xdr:from>
    <xdr:to>
      <xdr:col>20</xdr:col>
      <xdr:colOff>317501</xdr:colOff>
      <xdr:row>62</xdr:row>
      <xdr:rowOff>245919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705DFFC-02EC-60B6-AD35-8969FBFA1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178955</xdr:colOff>
      <xdr:row>49</xdr:row>
      <xdr:rowOff>793173</xdr:rowOff>
    </xdr:from>
    <xdr:to>
      <xdr:col>28</xdr:col>
      <xdr:colOff>467591</xdr:colOff>
      <xdr:row>62</xdr:row>
      <xdr:rowOff>142010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30CD953-6E84-BCEE-A04A-1EA72D77F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629228</xdr:colOff>
      <xdr:row>62</xdr:row>
      <xdr:rowOff>412173</xdr:rowOff>
    </xdr:from>
    <xdr:to>
      <xdr:col>8</xdr:col>
      <xdr:colOff>271319</xdr:colOff>
      <xdr:row>72</xdr:row>
      <xdr:rowOff>165100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930D73E-D444-3250-F1B7-6213C4251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178955</xdr:colOff>
      <xdr:row>62</xdr:row>
      <xdr:rowOff>793173</xdr:rowOff>
    </xdr:from>
    <xdr:to>
      <xdr:col>16</xdr:col>
      <xdr:colOff>236682</xdr:colOff>
      <xdr:row>74</xdr:row>
      <xdr:rowOff>176645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84D9F11-9AE8-0A9F-4CDC-257698D08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617682</xdr:colOff>
      <xdr:row>74</xdr:row>
      <xdr:rowOff>111991</xdr:rowOff>
    </xdr:from>
    <xdr:to>
      <xdr:col>8</xdr:col>
      <xdr:colOff>259773</xdr:colOff>
      <xdr:row>89</xdr:row>
      <xdr:rowOff>84282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CBFA818-E042-A95B-01CE-0D2CD1305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121227</xdr:colOff>
      <xdr:row>76</xdr:row>
      <xdr:rowOff>181265</xdr:rowOff>
    </xdr:from>
    <xdr:to>
      <xdr:col>16</xdr:col>
      <xdr:colOff>178954</xdr:colOff>
      <xdr:row>91</xdr:row>
      <xdr:rowOff>153556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7F1AB2D-C0A0-234B-CCD4-76AC99C5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87" workbookViewId="0">
      <selection activeCell="F12" sqref="D11:F12"/>
    </sheetView>
  </sheetViews>
  <sheetFormatPr defaultRowHeight="14.5" x14ac:dyDescent="0.35"/>
  <cols>
    <col min="1" max="1" width="4.453125" customWidth="1"/>
    <col min="2" max="2" width="16" customWidth="1"/>
  </cols>
  <sheetData>
    <row r="1" spans="1:6" ht="46.5" x14ac:dyDescent="0.35">
      <c r="A1" s="5" t="s">
        <v>2</v>
      </c>
      <c r="B1" s="5" t="s">
        <v>5</v>
      </c>
      <c r="C1" s="5" t="s">
        <v>0</v>
      </c>
      <c r="D1" s="5" t="s">
        <v>1</v>
      </c>
      <c r="E1" s="5" t="s">
        <v>3</v>
      </c>
    </row>
    <row r="2" spans="1:6" ht="15.5" x14ac:dyDescent="0.35">
      <c r="A2" s="3">
        <v>1</v>
      </c>
      <c r="B2" s="4">
        <f>(D2-C2)/E2</f>
        <v>1</v>
      </c>
      <c r="C2" s="3">
        <v>0</v>
      </c>
      <c r="D2" s="3">
        <v>126</v>
      </c>
      <c r="E2" s="3">
        <v>126</v>
      </c>
    </row>
    <row r="3" spans="1:6" ht="15.5" x14ac:dyDescent="0.35">
      <c r="A3" s="3">
        <v>2</v>
      </c>
      <c r="B3" s="4">
        <f t="shared" ref="B3:B8" si="0">(D3-C3)/E3</f>
        <v>1</v>
      </c>
      <c r="C3" s="3">
        <v>0</v>
      </c>
      <c r="D3" s="3">
        <v>71</v>
      </c>
      <c r="E3" s="3">
        <v>71</v>
      </c>
    </row>
    <row r="4" spans="1:6" ht="15.5" x14ac:dyDescent="0.35">
      <c r="A4" s="3">
        <v>3</v>
      </c>
      <c r="B4" s="4">
        <f t="shared" si="0"/>
        <v>2.4823529411764707</v>
      </c>
      <c r="C4" s="3">
        <v>0</v>
      </c>
      <c r="D4" s="3">
        <v>211</v>
      </c>
      <c r="E4" s="3">
        <f>211-126</f>
        <v>85</v>
      </c>
    </row>
    <row r="5" spans="1:6" ht="15.5" x14ac:dyDescent="0.35">
      <c r="A5" s="3">
        <v>4</v>
      </c>
      <c r="B5" s="4">
        <f t="shared" si="0"/>
        <v>3.92</v>
      </c>
      <c r="C5" s="3">
        <v>0</v>
      </c>
      <c r="D5" s="3">
        <v>196</v>
      </c>
      <c r="E5" s="3">
        <f>196-146</f>
        <v>50</v>
      </c>
    </row>
    <row r="6" spans="1:6" ht="15.5" x14ac:dyDescent="0.35">
      <c r="A6" s="3">
        <v>5</v>
      </c>
      <c r="B6" s="4">
        <f t="shared" si="0"/>
        <v>1.9466666666666668</v>
      </c>
      <c r="C6" s="3">
        <v>0</v>
      </c>
      <c r="D6" s="3">
        <v>146</v>
      </c>
      <c r="E6" s="3">
        <f>146-71</f>
        <v>75</v>
      </c>
    </row>
    <row r="7" spans="1:6" ht="15.5" x14ac:dyDescent="0.35">
      <c r="A7" s="3">
        <v>6</v>
      </c>
      <c r="B7" s="4">
        <f t="shared" si="0"/>
        <v>1</v>
      </c>
      <c r="C7" s="3">
        <v>0</v>
      </c>
      <c r="D7" s="3">
        <v>96</v>
      </c>
      <c r="E7" s="3">
        <v>96</v>
      </c>
    </row>
    <row r="8" spans="1:6" ht="15.5" x14ac:dyDescent="0.35">
      <c r="A8" s="3">
        <v>7</v>
      </c>
      <c r="B8" s="4">
        <f t="shared" si="0"/>
        <v>1</v>
      </c>
      <c r="C8" s="3">
        <v>0</v>
      </c>
      <c r="D8" s="3">
        <v>28</v>
      </c>
      <c r="E8" s="3">
        <v>28</v>
      </c>
    </row>
    <row r="9" spans="1:6" ht="15.5" x14ac:dyDescent="0.35">
      <c r="A9" s="6"/>
      <c r="B9" s="7"/>
      <c r="C9" s="6"/>
      <c r="D9" s="6"/>
      <c r="E9" s="6"/>
    </row>
    <row r="10" spans="1:6" ht="15.5" x14ac:dyDescent="0.35">
      <c r="A10" s="1"/>
      <c r="B10" s="2"/>
      <c r="C10" s="1"/>
      <c r="D10" s="1"/>
      <c r="E10" s="1"/>
    </row>
    <row r="11" spans="1:6" ht="46.5" x14ac:dyDescent="0.35">
      <c r="A11" s="1"/>
      <c r="B11" s="5" t="s">
        <v>4</v>
      </c>
      <c r="C11" s="1"/>
      <c r="D11" s="25" t="s">
        <v>6</v>
      </c>
      <c r="E11" s="25"/>
      <c r="F11" s="25"/>
    </row>
    <row r="12" spans="1:6" ht="21" x14ac:dyDescent="0.5">
      <c r="B12" s="8">
        <f>AVERAGE(B2:B9)</f>
        <v>1.7641456582633055</v>
      </c>
      <c r="F12" s="9">
        <v>4</v>
      </c>
    </row>
  </sheetData>
  <mergeCells count="1">
    <mergeCell ref="D11:F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89"/>
  <sheetViews>
    <sheetView tabSelected="1" topLeftCell="A45" zoomScale="52" zoomScaleNormal="40" workbookViewId="0">
      <selection activeCell="Q79" sqref="Q79"/>
    </sheetView>
  </sheetViews>
  <sheetFormatPr defaultRowHeight="14.5" x14ac:dyDescent="0.35"/>
  <cols>
    <col min="1" max="1" width="8.81640625" bestFit="1" customWidth="1"/>
    <col min="2" max="2" width="17.26953125" customWidth="1"/>
    <col min="3" max="3" width="9.36328125" customWidth="1"/>
    <col min="4" max="6" width="8.81640625" bestFit="1" customWidth="1"/>
    <col min="8" max="8" width="8.81640625" bestFit="1" customWidth="1"/>
    <col min="9" max="9" width="11.81640625" bestFit="1" customWidth="1"/>
    <col min="10" max="13" width="8.81640625" bestFit="1" customWidth="1"/>
    <col min="15" max="15" width="8.81640625" bestFit="1" customWidth="1"/>
    <col min="16" max="16" width="12" bestFit="1" customWidth="1"/>
    <col min="17" max="20" width="8.81640625" bestFit="1" customWidth="1"/>
    <col min="22" max="27" width="8.81640625" bestFit="1" customWidth="1"/>
  </cols>
  <sheetData>
    <row r="1" spans="1:55" ht="58" customHeight="1" x14ac:dyDescent="0.35">
      <c r="A1" s="5" t="s">
        <v>2</v>
      </c>
      <c r="B1" s="5" t="s">
        <v>5</v>
      </c>
      <c r="C1" s="5" t="s">
        <v>0</v>
      </c>
      <c r="D1" s="5" t="s">
        <v>1</v>
      </c>
      <c r="E1" s="5" t="s">
        <v>3</v>
      </c>
      <c r="H1" s="5" t="s">
        <v>2</v>
      </c>
      <c r="I1" s="5" t="s">
        <v>5</v>
      </c>
      <c r="J1" s="5" t="s">
        <v>0</v>
      </c>
      <c r="K1" s="5" t="s">
        <v>1</v>
      </c>
      <c r="L1" s="5" t="s">
        <v>3</v>
      </c>
      <c r="N1" s="12"/>
      <c r="O1" s="5" t="s">
        <v>2</v>
      </c>
      <c r="P1" s="5" t="s">
        <v>5</v>
      </c>
      <c r="Q1" s="5" t="s">
        <v>0</v>
      </c>
      <c r="R1" s="5" t="s">
        <v>1</v>
      </c>
      <c r="S1" s="5" t="s">
        <v>3</v>
      </c>
      <c r="V1" s="5" t="s">
        <v>2</v>
      </c>
      <c r="W1" s="5" t="s">
        <v>5</v>
      </c>
      <c r="X1" s="5" t="s">
        <v>0</v>
      </c>
      <c r="Y1" s="5" t="s">
        <v>1</v>
      </c>
      <c r="Z1" s="5" t="s">
        <v>3</v>
      </c>
      <c r="AC1" s="5" t="s">
        <v>2</v>
      </c>
      <c r="AD1" s="5" t="s">
        <v>5</v>
      </c>
      <c r="AE1" s="5" t="s">
        <v>0</v>
      </c>
      <c r="AF1" s="5" t="s">
        <v>1</v>
      </c>
      <c r="AG1" s="5" t="s">
        <v>3</v>
      </c>
      <c r="AH1" s="13"/>
      <c r="AI1" s="13"/>
      <c r="AJ1" s="5" t="s">
        <v>2</v>
      </c>
      <c r="AK1" s="5" t="s">
        <v>5</v>
      </c>
      <c r="AL1" s="5" t="s">
        <v>0</v>
      </c>
      <c r="AM1" s="5" t="s">
        <v>1</v>
      </c>
      <c r="AN1" s="5" t="s">
        <v>3</v>
      </c>
      <c r="AO1" s="13"/>
      <c r="AP1" s="12"/>
      <c r="AQ1" s="5" t="s">
        <v>2</v>
      </c>
      <c r="AR1" s="5" t="s">
        <v>5</v>
      </c>
      <c r="AS1" s="5" t="s">
        <v>0</v>
      </c>
      <c r="AT1" s="5" t="s">
        <v>1</v>
      </c>
      <c r="AU1" s="5" t="s">
        <v>3</v>
      </c>
      <c r="AV1" s="13"/>
      <c r="AW1" s="13"/>
      <c r="AX1" s="5" t="s">
        <v>2</v>
      </c>
      <c r="AY1" s="5" t="s">
        <v>5</v>
      </c>
      <c r="AZ1" s="5" t="s">
        <v>0</v>
      </c>
      <c r="BA1" s="5" t="s">
        <v>1</v>
      </c>
      <c r="BB1" s="5" t="s">
        <v>3</v>
      </c>
      <c r="BC1" s="13"/>
    </row>
    <row r="2" spans="1:55" ht="15.5" x14ac:dyDescent="0.35">
      <c r="A2" s="3">
        <v>1</v>
      </c>
      <c r="B2" s="4">
        <v>2.0099999999999998</v>
      </c>
      <c r="C2" s="3"/>
      <c r="D2" s="3"/>
      <c r="E2" s="3"/>
      <c r="H2" s="3">
        <v>1</v>
      </c>
      <c r="I2" s="4">
        <v>1</v>
      </c>
      <c r="J2" s="3"/>
      <c r="K2" s="3"/>
      <c r="L2" s="3"/>
      <c r="N2" s="12"/>
      <c r="O2" s="3">
        <v>1</v>
      </c>
      <c r="P2" s="4">
        <v>1</v>
      </c>
      <c r="Q2" s="3"/>
      <c r="R2" s="3"/>
      <c r="S2" s="3"/>
      <c r="V2" s="3">
        <v>1</v>
      </c>
      <c r="W2" s="4">
        <v>1</v>
      </c>
      <c r="X2" s="4"/>
      <c r="Y2" s="4"/>
      <c r="Z2" s="4"/>
      <c r="AC2" s="3">
        <v>1</v>
      </c>
      <c r="AD2" s="4">
        <v>1</v>
      </c>
      <c r="AE2" s="3"/>
      <c r="AF2" s="3"/>
      <c r="AG2" s="3"/>
      <c r="AH2" s="13"/>
      <c r="AI2" s="13"/>
      <c r="AJ2" s="3">
        <v>1</v>
      </c>
      <c r="AK2" s="4">
        <v>1</v>
      </c>
      <c r="AL2" s="3"/>
      <c r="AM2" s="3"/>
      <c r="AN2" s="3"/>
      <c r="AO2" s="13"/>
      <c r="AP2" s="12"/>
      <c r="AQ2" s="3">
        <v>1</v>
      </c>
      <c r="AR2" s="4">
        <v>1</v>
      </c>
      <c r="AS2" s="4"/>
      <c r="AT2" s="3"/>
      <c r="AU2" s="3"/>
      <c r="AV2" s="13"/>
      <c r="AW2" s="13"/>
      <c r="AX2" s="3">
        <v>1</v>
      </c>
      <c r="AY2" s="4">
        <v>1</v>
      </c>
      <c r="AZ2" s="4"/>
      <c r="BA2" s="4"/>
      <c r="BB2" s="4"/>
      <c r="BC2" s="13"/>
    </row>
    <row r="3" spans="1:55" ht="15.5" x14ac:dyDescent="0.35">
      <c r="A3" s="3">
        <v>2</v>
      </c>
      <c r="B3" s="4">
        <v>1.88</v>
      </c>
      <c r="C3" s="3"/>
      <c r="D3" s="3"/>
      <c r="E3" s="3"/>
      <c r="H3" s="3">
        <v>2</v>
      </c>
      <c r="I3" s="4">
        <v>2.89</v>
      </c>
      <c r="J3" s="3"/>
      <c r="K3" s="3"/>
      <c r="L3" s="3"/>
      <c r="N3" s="12"/>
      <c r="O3" s="3">
        <v>2</v>
      </c>
      <c r="P3" s="4">
        <v>1</v>
      </c>
      <c r="Q3" s="3"/>
      <c r="R3" s="3"/>
      <c r="S3" s="3"/>
      <c r="V3" s="3">
        <v>2</v>
      </c>
      <c r="W3" s="4">
        <v>2.89</v>
      </c>
      <c r="X3" s="4"/>
      <c r="Y3" s="4"/>
      <c r="Z3" s="4"/>
      <c r="AC3" s="3">
        <v>2</v>
      </c>
      <c r="AD3" s="4">
        <v>2.73</v>
      </c>
      <c r="AE3" s="3"/>
      <c r="AF3" s="3"/>
      <c r="AG3" s="3"/>
      <c r="AH3" s="13"/>
      <c r="AI3" s="13"/>
      <c r="AJ3" s="3">
        <v>2</v>
      </c>
      <c r="AK3" s="4">
        <v>2.79</v>
      </c>
      <c r="AL3" s="3"/>
      <c r="AM3" s="3"/>
      <c r="AN3" s="3"/>
      <c r="AO3" s="13"/>
      <c r="AP3" s="12"/>
      <c r="AQ3" s="3">
        <v>2</v>
      </c>
      <c r="AR3" s="3">
        <v>1.61</v>
      </c>
      <c r="AS3" s="3"/>
      <c r="AT3" s="3"/>
      <c r="AU3" s="3"/>
      <c r="AV3" s="13"/>
      <c r="AW3" s="13"/>
      <c r="AX3" s="3">
        <v>2</v>
      </c>
      <c r="AY3" s="4">
        <v>2.79</v>
      </c>
      <c r="AZ3" s="4"/>
      <c r="BA3" s="4"/>
      <c r="BB3" s="4"/>
      <c r="BC3" s="13"/>
    </row>
    <row r="4" spans="1:55" ht="15.5" x14ac:dyDescent="0.35">
      <c r="A4" s="3">
        <v>3</v>
      </c>
      <c r="B4" s="4">
        <v>1.28</v>
      </c>
      <c r="C4" s="3"/>
      <c r="D4" s="3"/>
      <c r="E4" s="3"/>
      <c r="H4" s="3">
        <v>3</v>
      </c>
      <c r="I4" s="4">
        <v>1</v>
      </c>
      <c r="J4" s="3"/>
      <c r="K4" s="3"/>
      <c r="L4" s="3"/>
      <c r="N4" s="12"/>
      <c r="O4" s="3">
        <v>3</v>
      </c>
      <c r="P4" s="4">
        <v>1</v>
      </c>
      <c r="Q4" s="3"/>
      <c r="R4" s="3"/>
      <c r="S4" s="3"/>
      <c r="V4" s="3">
        <v>3</v>
      </c>
      <c r="W4" s="4">
        <v>1</v>
      </c>
      <c r="X4" s="4"/>
      <c r="Y4" s="4"/>
      <c r="Z4" s="4"/>
      <c r="AC4" s="3">
        <v>3</v>
      </c>
      <c r="AD4" s="4">
        <v>1</v>
      </c>
      <c r="AE4" s="3"/>
      <c r="AF4" s="3"/>
      <c r="AG4" s="3"/>
      <c r="AH4" s="13"/>
      <c r="AI4" s="13"/>
      <c r="AJ4" s="3">
        <v>3</v>
      </c>
      <c r="AK4" s="4">
        <v>1</v>
      </c>
      <c r="AL4" s="3"/>
      <c r="AM4" s="3"/>
      <c r="AN4" s="3"/>
      <c r="AO4" s="13"/>
      <c r="AP4" s="12"/>
      <c r="AQ4" s="3">
        <v>3</v>
      </c>
      <c r="AR4" s="4">
        <v>1</v>
      </c>
      <c r="AS4" s="4"/>
      <c r="AT4" s="3"/>
      <c r="AU4" s="3"/>
      <c r="AV4" s="13"/>
      <c r="AW4" s="13"/>
      <c r="AX4" s="3">
        <v>3</v>
      </c>
      <c r="AY4" s="4">
        <v>1</v>
      </c>
      <c r="AZ4" s="4"/>
      <c r="BA4" s="4"/>
      <c r="BB4" s="4"/>
      <c r="BC4" s="13"/>
    </row>
    <row r="5" spans="1:55" ht="15.5" x14ac:dyDescent="0.35">
      <c r="A5" s="3">
        <v>4</v>
      </c>
      <c r="B5" s="4">
        <v>1.58</v>
      </c>
      <c r="C5" s="3"/>
      <c r="D5" s="3"/>
      <c r="E5" s="3"/>
      <c r="H5" s="3"/>
      <c r="I5" s="4"/>
      <c r="J5" s="3"/>
      <c r="K5" s="3"/>
      <c r="L5" s="3"/>
      <c r="N5" s="12"/>
      <c r="O5" s="3">
        <v>4</v>
      </c>
      <c r="P5" s="4">
        <v>3.32</v>
      </c>
      <c r="Q5" s="3"/>
      <c r="R5" s="3"/>
      <c r="S5" s="3"/>
      <c r="V5" s="3"/>
      <c r="W5" s="4"/>
      <c r="X5" s="4"/>
      <c r="Y5" s="4"/>
      <c r="Z5" s="4"/>
      <c r="AC5" s="3">
        <v>4</v>
      </c>
      <c r="AD5" s="4">
        <v>1.62</v>
      </c>
      <c r="AE5" s="3"/>
      <c r="AF5" s="3"/>
      <c r="AG5" s="3"/>
      <c r="AH5" s="13"/>
      <c r="AI5" s="13"/>
      <c r="AJ5" s="3"/>
      <c r="AK5" s="4"/>
      <c r="AL5" s="3"/>
      <c r="AM5" s="3"/>
      <c r="AN5" s="3"/>
      <c r="AO5" s="13"/>
      <c r="AP5" s="12"/>
      <c r="AQ5" s="3">
        <v>4</v>
      </c>
      <c r="AR5" s="3">
        <v>4.43</v>
      </c>
      <c r="AS5" s="3"/>
      <c r="AT5" s="3"/>
      <c r="AU5" s="3"/>
      <c r="AV5" s="13"/>
      <c r="AW5" s="13"/>
      <c r="AX5" s="3"/>
      <c r="AY5" s="4"/>
      <c r="AZ5" s="4"/>
      <c r="BA5" s="4"/>
      <c r="BB5" s="4"/>
      <c r="BC5" s="13"/>
    </row>
    <row r="6" spans="1:55" ht="15.5" x14ac:dyDescent="0.35">
      <c r="A6" s="3">
        <v>5</v>
      </c>
      <c r="B6" s="4">
        <v>1</v>
      </c>
      <c r="C6" s="3"/>
      <c r="D6" s="3"/>
      <c r="E6" s="3"/>
      <c r="H6" s="3"/>
      <c r="I6" s="4"/>
      <c r="J6" s="3"/>
      <c r="K6" s="3"/>
      <c r="L6" s="3"/>
      <c r="N6" s="12"/>
      <c r="O6" s="3">
        <v>5</v>
      </c>
      <c r="P6" s="4">
        <v>2.9</v>
      </c>
      <c r="Q6" s="3"/>
      <c r="R6" s="3"/>
      <c r="S6" s="3"/>
      <c r="V6" s="3"/>
      <c r="W6" s="4"/>
      <c r="X6" s="4"/>
      <c r="Y6" s="4"/>
      <c r="Z6" s="4"/>
      <c r="AC6" s="3">
        <v>5</v>
      </c>
      <c r="AD6" s="4">
        <v>1.52</v>
      </c>
      <c r="AE6" s="3"/>
      <c r="AF6" s="3"/>
      <c r="AG6" s="3"/>
      <c r="AH6" s="13"/>
      <c r="AI6" s="13"/>
      <c r="AJ6" s="3"/>
      <c r="AK6" s="4"/>
      <c r="AL6" s="3"/>
      <c r="AM6" s="3"/>
      <c r="AN6" s="3"/>
      <c r="AO6" s="13"/>
      <c r="AP6" s="12"/>
      <c r="AQ6" s="3">
        <v>5</v>
      </c>
      <c r="AR6" s="3">
        <v>2.1800000000000002</v>
      </c>
      <c r="AS6" s="3"/>
      <c r="AT6" s="3"/>
      <c r="AU6" s="3"/>
      <c r="AV6" s="13"/>
      <c r="AW6" s="13"/>
      <c r="AX6" s="3"/>
      <c r="AY6" s="4"/>
      <c r="AZ6" s="4"/>
      <c r="BA6" s="4"/>
      <c r="BB6" s="4"/>
      <c r="BC6" s="13"/>
    </row>
    <row r="7" spans="1:55" ht="15.5" x14ac:dyDescent="0.35">
      <c r="A7" s="3">
        <v>6</v>
      </c>
      <c r="B7" s="4">
        <v>3.94</v>
      </c>
      <c r="C7" s="3"/>
      <c r="D7" s="3"/>
      <c r="E7" s="3"/>
      <c r="H7" s="3"/>
      <c r="I7" s="4"/>
      <c r="J7" s="3"/>
      <c r="K7" s="3"/>
      <c r="L7" s="3"/>
      <c r="N7" s="12"/>
      <c r="O7" s="3">
        <v>6</v>
      </c>
      <c r="P7" s="4">
        <v>4.54</v>
      </c>
      <c r="Q7" s="3"/>
      <c r="R7" s="3"/>
      <c r="S7" s="3"/>
      <c r="V7" s="3"/>
      <c r="W7" s="4"/>
      <c r="X7" s="4"/>
      <c r="Y7" s="4"/>
      <c r="Z7" s="4"/>
      <c r="AC7" s="3">
        <v>6</v>
      </c>
      <c r="AD7" s="4">
        <v>3.54</v>
      </c>
      <c r="AE7" s="3"/>
      <c r="AF7" s="3"/>
      <c r="AG7" s="3"/>
      <c r="AH7" s="13"/>
      <c r="AI7" s="13"/>
      <c r="AJ7" s="3"/>
      <c r="AK7" s="4"/>
      <c r="AL7" s="3"/>
      <c r="AM7" s="3"/>
      <c r="AN7" s="3"/>
      <c r="AO7" s="13"/>
      <c r="AP7" s="12"/>
      <c r="AQ7" s="3">
        <v>6</v>
      </c>
      <c r="AR7" s="3">
        <v>3.4</v>
      </c>
      <c r="AS7" s="3"/>
      <c r="AT7" s="3"/>
      <c r="AU7" s="3"/>
      <c r="AV7" s="13"/>
      <c r="AW7" s="13"/>
      <c r="AX7" s="3"/>
      <c r="AY7" s="4"/>
      <c r="AZ7" s="4"/>
      <c r="BA7" s="4"/>
      <c r="BB7" s="4"/>
      <c r="BC7" s="13"/>
    </row>
    <row r="8" spans="1:55" ht="15.5" x14ac:dyDescent="0.35">
      <c r="A8" s="3">
        <v>7</v>
      </c>
      <c r="B8" s="4">
        <v>1</v>
      </c>
      <c r="C8" s="3"/>
      <c r="D8" s="3"/>
      <c r="E8" s="3"/>
      <c r="H8" s="3"/>
      <c r="I8" s="4"/>
      <c r="J8" s="3"/>
      <c r="K8" s="3"/>
      <c r="L8" s="3"/>
      <c r="N8" s="12"/>
      <c r="O8" s="3">
        <v>7</v>
      </c>
      <c r="P8" s="4">
        <v>4.07</v>
      </c>
      <c r="Q8" s="3"/>
      <c r="R8" s="3"/>
      <c r="S8" s="3"/>
      <c r="V8" s="3"/>
      <c r="W8" s="4"/>
      <c r="X8" s="4"/>
      <c r="Y8" s="4"/>
      <c r="Z8" s="4"/>
      <c r="AC8" s="3">
        <v>7</v>
      </c>
      <c r="AD8" s="4">
        <v>1</v>
      </c>
      <c r="AE8" s="3"/>
      <c r="AF8" s="3"/>
      <c r="AG8" s="3"/>
      <c r="AH8" s="13"/>
      <c r="AI8" s="13"/>
      <c r="AJ8" s="3"/>
      <c r="AK8" s="4"/>
      <c r="AL8" s="3"/>
      <c r="AM8" s="3"/>
      <c r="AN8" s="3"/>
      <c r="AO8" s="13"/>
      <c r="AP8" s="12"/>
      <c r="AQ8" s="3">
        <v>7</v>
      </c>
      <c r="AR8" s="4">
        <v>1</v>
      </c>
      <c r="AS8" s="3"/>
      <c r="AT8" s="3"/>
      <c r="AU8" s="3"/>
      <c r="AV8" s="13"/>
      <c r="AW8" s="13"/>
      <c r="AX8" s="3"/>
      <c r="AY8" s="4"/>
      <c r="AZ8" s="4"/>
      <c r="BA8" s="4"/>
      <c r="BB8" s="4"/>
      <c r="BC8" s="13"/>
    </row>
    <row r="9" spans="1:55" ht="15.5" x14ac:dyDescent="0.35">
      <c r="D9" s="11"/>
      <c r="K9" s="11"/>
      <c r="N9" s="12"/>
      <c r="R9" s="11"/>
      <c r="X9" s="4"/>
      <c r="Y9" s="11"/>
      <c r="AC9" s="13"/>
      <c r="AD9" s="13"/>
      <c r="AE9" s="13"/>
      <c r="AF9" s="11"/>
      <c r="AG9" s="13"/>
      <c r="AH9" s="13"/>
      <c r="AI9" s="13"/>
      <c r="AJ9" s="13"/>
      <c r="AK9" s="13"/>
      <c r="AL9" s="13"/>
      <c r="AM9" s="11"/>
      <c r="AN9" s="13"/>
      <c r="AO9" s="13"/>
      <c r="AP9" s="12"/>
      <c r="AQ9" s="13"/>
      <c r="AR9" s="13"/>
      <c r="AS9" s="13"/>
      <c r="AT9" s="11"/>
      <c r="AU9" s="13"/>
      <c r="AV9" s="13"/>
      <c r="AW9" s="13"/>
      <c r="AX9" s="13"/>
      <c r="AY9" s="13"/>
      <c r="AZ9" s="4"/>
      <c r="BA9" s="11"/>
      <c r="BB9" s="13"/>
      <c r="BC9" s="13"/>
    </row>
    <row r="10" spans="1:55" x14ac:dyDescent="0.35">
      <c r="N10" s="12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2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:55" ht="60" customHeight="1" x14ac:dyDescent="0.35">
      <c r="B11" s="10" t="s">
        <v>4</v>
      </c>
      <c r="D11" s="26" t="s">
        <v>6</v>
      </c>
      <c r="E11" s="26"/>
      <c r="F11" s="26"/>
      <c r="I11" s="10" t="s">
        <v>4</v>
      </c>
      <c r="K11" s="26" t="s">
        <v>6</v>
      </c>
      <c r="L11" s="26"/>
      <c r="M11" s="26"/>
      <c r="N11" s="12"/>
      <c r="P11" s="10" t="s">
        <v>4</v>
      </c>
      <c r="R11" s="26" t="s">
        <v>6</v>
      </c>
      <c r="S11" s="26"/>
      <c r="T11" s="26"/>
      <c r="W11" s="10" t="s">
        <v>4</v>
      </c>
      <c r="Y11" s="26" t="s">
        <v>6</v>
      </c>
      <c r="Z11" s="26"/>
      <c r="AA11" s="26"/>
      <c r="AC11" s="13"/>
      <c r="AD11" s="10" t="s">
        <v>4</v>
      </c>
      <c r="AE11" s="13"/>
      <c r="AF11" s="26" t="s">
        <v>6</v>
      </c>
      <c r="AG11" s="26"/>
      <c r="AH11" s="26"/>
      <c r="AI11" s="13"/>
      <c r="AJ11" s="13"/>
      <c r="AK11" s="10" t="s">
        <v>4</v>
      </c>
      <c r="AL11" s="13"/>
      <c r="AM11" s="26" t="s">
        <v>6</v>
      </c>
      <c r="AN11" s="26"/>
      <c r="AO11" s="26"/>
      <c r="AP11" s="12"/>
      <c r="AQ11" s="13"/>
      <c r="AR11" s="10" t="s">
        <v>4</v>
      </c>
      <c r="AS11" s="13"/>
      <c r="AT11" s="26" t="s">
        <v>6</v>
      </c>
      <c r="AU11" s="26"/>
      <c r="AV11" s="26"/>
      <c r="AW11" s="13"/>
      <c r="AX11" s="13"/>
      <c r="AY11" s="10" t="s">
        <v>4</v>
      </c>
      <c r="AZ11" s="13"/>
      <c r="BA11" s="26" t="s">
        <v>6</v>
      </c>
      <c r="BB11" s="26"/>
      <c r="BC11" s="26"/>
    </row>
    <row r="12" spans="1:55" ht="21" x14ac:dyDescent="0.5">
      <c r="B12" s="8">
        <f>AVERAGE(B2:B9)</f>
        <v>1.8128571428571427</v>
      </c>
      <c r="F12" s="9">
        <v>3</v>
      </c>
      <c r="I12" s="8">
        <f>AVERAGE(I2:I9)</f>
        <v>1.6300000000000001</v>
      </c>
      <c r="M12" s="9">
        <v>2</v>
      </c>
      <c r="N12" s="12"/>
      <c r="P12" s="8">
        <f>AVERAGE(P2:P9)</f>
        <v>2.5471428571428576</v>
      </c>
      <c r="T12" s="9">
        <v>3</v>
      </c>
      <c r="W12" s="8">
        <f>AVERAGE(W2:W9)</f>
        <v>1.6300000000000001</v>
      </c>
      <c r="AA12" s="9">
        <v>2</v>
      </c>
      <c r="AC12" s="13"/>
      <c r="AD12" s="8">
        <f>AVERAGE(AD2:AD9)</f>
        <v>1.7728571428571429</v>
      </c>
      <c r="AE12" s="13"/>
      <c r="AF12" s="13"/>
      <c r="AG12" s="13"/>
      <c r="AH12" s="9">
        <v>3</v>
      </c>
      <c r="AI12" s="13"/>
      <c r="AJ12" s="13"/>
      <c r="AK12" s="8">
        <f>AVERAGE(AK2:AK9)</f>
        <v>1.5966666666666667</v>
      </c>
      <c r="AL12" s="13"/>
      <c r="AM12" s="13"/>
      <c r="AN12" s="13"/>
      <c r="AO12" s="9">
        <v>2</v>
      </c>
      <c r="AP12" s="12"/>
      <c r="AQ12" s="13"/>
      <c r="AR12" s="8">
        <f>AVERAGE(AR2:AR9)</f>
        <v>2.0885714285714285</v>
      </c>
      <c r="AS12" s="13"/>
      <c r="AT12" s="13"/>
      <c r="AU12" s="13"/>
      <c r="AV12" s="9">
        <v>3</v>
      </c>
      <c r="AW12" s="13"/>
      <c r="AX12" s="13"/>
      <c r="AY12" s="8">
        <f>AVERAGE(AY2:AY9)</f>
        <v>1.5966666666666667</v>
      </c>
      <c r="AZ12" s="13"/>
      <c r="BA12" s="13"/>
      <c r="BB12" s="13"/>
      <c r="BC12" s="9">
        <v>2</v>
      </c>
    </row>
    <row r="13" spans="1:55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 ht="77.5" x14ac:dyDescent="0.35">
      <c r="A14" s="5" t="s">
        <v>2</v>
      </c>
      <c r="B14" s="5" t="s">
        <v>5</v>
      </c>
      <c r="C14" s="5" t="s">
        <v>0</v>
      </c>
      <c r="D14" s="5" t="s">
        <v>1</v>
      </c>
      <c r="E14" s="5" t="s">
        <v>3</v>
      </c>
      <c r="H14" s="5" t="s">
        <v>2</v>
      </c>
      <c r="I14" s="5" t="s">
        <v>5</v>
      </c>
      <c r="J14" s="5" t="s">
        <v>0</v>
      </c>
      <c r="K14" s="5" t="s">
        <v>1</v>
      </c>
      <c r="L14" s="5" t="s">
        <v>3</v>
      </c>
      <c r="N14" s="12"/>
      <c r="O14" s="5" t="s">
        <v>2</v>
      </c>
      <c r="P14" s="5" t="s">
        <v>5</v>
      </c>
      <c r="Q14" s="5" t="s">
        <v>0</v>
      </c>
      <c r="R14" s="5" t="s">
        <v>1</v>
      </c>
      <c r="S14" s="5" t="s">
        <v>3</v>
      </c>
      <c r="V14" s="5" t="s">
        <v>2</v>
      </c>
      <c r="W14" s="5" t="s">
        <v>5</v>
      </c>
      <c r="X14" s="5" t="s">
        <v>0</v>
      </c>
      <c r="Y14" s="5" t="s">
        <v>1</v>
      </c>
      <c r="Z14" s="5" t="s">
        <v>3</v>
      </c>
      <c r="AC14" s="5" t="s">
        <v>2</v>
      </c>
      <c r="AD14" s="5" t="s">
        <v>5</v>
      </c>
      <c r="AE14" s="5" t="s">
        <v>0</v>
      </c>
      <c r="AF14" s="5" t="s">
        <v>1</v>
      </c>
      <c r="AG14" s="5" t="s">
        <v>3</v>
      </c>
      <c r="AH14" s="13"/>
      <c r="AI14" s="13"/>
      <c r="AJ14" s="5" t="s">
        <v>2</v>
      </c>
      <c r="AK14" s="5" t="s">
        <v>5</v>
      </c>
      <c r="AL14" s="5" t="s">
        <v>0</v>
      </c>
      <c r="AM14" s="5" t="s">
        <v>1</v>
      </c>
      <c r="AN14" s="5" t="s">
        <v>3</v>
      </c>
      <c r="AO14" s="13"/>
      <c r="AP14" s="12"/>
      <c r="AQ14" s="5" t="s">
        <v>2</v>
      </c>
      <c r="AR14" s="5" t="s">
        <v>5</v>
      </c>
      <c r="AS14" s="5" t="s">
        <v>0</v>
      </c>
      <c r="AT14" s="5" t="s">
        <v>1</v>
      </c>
      <c r="AU14" s="5" t="s">
        <v>3</v>
      </c>
      <c r="AV14" s="13"/>
      <c r="AW14" s="13"/>
      <c r="AX14" s="5" t="s">
        <v>2</v>
      </c>
      <c r="AY14" s="5" t="s">
        <v>5</v>
      </c>
      <c r="AZ14" s="5" t="s">
        <v>0</v>
      </c>
      <c r="BA14" s="5" t="s">
        <v>1</v>
      </c>
      <c r="BB14" s="5" t="s">
        <v>3</v>
      </c>
      <c r="BC14" s="13"/>
    </row>
    <row r="15" spans="1:55" ht="15.5" x14ac:dyDescent="0.35">
      <c r="A15" s="3">
        <v>1</v>
      </c>
      <c r="B15" s="4">
        <v>3.8</v>
      </c>
      <c r="C15" s="3"/>
      <c r="D15" s="3"/>
      <c r="E15" s="3"/>
      <c r="H15" s="3">
        <v>1</v>
      </c>
      <c r="I15" s="4">
        <v>2.35</v>
      </c>
      <c r="J15" s="3"/>
      <c r="K15" s="3"/>
      <c r="L15" s="3"/>
      <c r="N15" s="12"/>
      <c r="O15" s="3">
        <v>1</v>
      </c>
      <c r="P15" s="4">
        <v>1</v>
      </c>
      <c r="Q15" s="4"/>
      <c r="R15" s="4"/>
      <c r="S15" s="4"/>
      <c r="V15" s="3">
        <v>1</v>
      </c>
      <c r="W15" s="4">
        <v>1</v>
      </c>
      <c r="X15" s="4"/>
      <c r="Y15" s="4"/>
      <c r="Z15" s="4"/>
      <c r="AC15" s="3">
        <v>1</v>
      </c>
      <c r="AD15" s="4">
        <v>1</v>
      </c>
      <c r="AE15" s="3"/>
      <c r="AF15" s="3"/>
      <c r="AG15" s="3"/>
      <c r="AH15" s="13"/>
      <c r="AI15" s="13"/>
      <c r="AJ15" s="3">
        <v>1</v>
      </c>
      <c r="AK15" s="4">
        <v>1</v>
      </c>
      <c r="AL15" s="3"/>
      <c r="AM15" s="3"/>
      <c r="AN15" s="3"/>
      <c r="AO15" s="13"/>
      <c r="AP15" s="12"/>
      <c r="AQ15" s="3">
        <v>1</v>
      </c>
      <c r="AR15" s="4">
        <v>1</v>
      </c>
      <c r="AS15" s="4"/>
      <c r="AT15" s="4"/>
      <c r="AU15" s="4"/>
      <c r="AV15" s="13"/>
      <c r="AW15" s="13"/>
      <c r="AX15" s="3">
        <v>1</v>
      </c>
      <c r="AY15" s="4">
        <v>1</v>
      </c>
      <c r="AZ15" s="4"/>
      <c r="BA15" s="4"/>
      <c r="BB15" s="4"/>
      <c r="BC15" s="13"/>
    </row>
    <row r="16" spans="1:55" ht="15.5" x14ac:dyDescent="0.35">
      <c r="A16" s="3">
        <v>2</v>
      </c>
      <c r="B16" s="4">
        <v>2.21</v>
      </c>
      <c r="C16" s="3"/>
      <c r="D16" s="3"/>
      <c r="E16" s="3"/>
      <c r="H16" s="3">
        <v>2</v>
      </c>
      <c r="I16" s="4">
        <v>1</v>
      </c>
      <c r="J16" s="3"/>
      <c r="K16" s="3"/>
      <c r="L16" s="3"/>
      <c r="N16" s="12"/>
      <c r="O16" s="3">
        <v>2</v>
      </c>
      <c r="P16" s="4">
        <v>1</v>
      </c>
      <c r="Q16" s="4"/>
      <c r="R16" s="4"/>
      <c r="S16" s="4"/>
      <c r="V16" s="3">
        <v>2</v>
      </c>
      <c r="W16" s="4">
        <v>1</v>
      </c>
      <c r="X16" s="4"/>
      <c r="Y16" s="4"/>
      <c r="Z16" s="4"/>
      <c r="AC16" s="3">
        <v>2</v>
      </c>
      <c r="AD16" s="4">
        <v>1</v>
      </c>
      <c r="AE16" s="3"/>
      <c r="AF16" s="3"/>
      <c r="AG16" s="3"/>
      <c r="AH16" s="13"/>
      <c r="AI16" s="13"/>
      <c r="AJ16" s="3">
        <v>2</v>
      </c>
      <c r="AK16" s="4">
        <v>1</v>
      </c>
      <c r="AL16" s="3"/>
      <c r="AM16" s="3"/>
      <c r="AN16" s="3"/>
      <c r="AO16" s="13"/>
      <c r="AP16" s="12"/>
      <c r="AQ16" s="3">
        <v>2</v>
      </c>
      <c r="AR16" s="4">
        <v>1</v>
      </c>
      <c r="AS16" s="4"/>
      <c r="AT16" s="4"/>
      <c r="AU16" s="4"/>
      <c r="AV16" s="13"/>
      <c r="AW16" s="13"/>
      <c r="AX16" s="3">
        <v>2</v>
      </c>
      <c r="AY16" s="4">
        <v>1</v>
      </c>
      <c r="AZ16" s="4"/>
      <c r="BA16" s="4"/>
      <c r="BB16" s="4"/>
      <c r="BC16" s="13"/>
    </row>
    <row r="17" spans="1:55" ht="15.5" x14ac:dyDescent="0.35">
      <c r="A17" s="3">
        <v>3</v>
      </c>
      <c r="B17" s="4">
        <v>1</v>
      </c>
      <c r="C17" s="3"/>
      <c r="D17" s="3"/>
      <c r="E17" s="3"/>
      <c r="H17" s="3">
        <v>3</v>
      </c>
      <c r="I17" s="4">
        <v>1</v>
      </c>
      <c r="J17" s="3"/>
      <c r="K17" s="3"/>
      <c r="L17" s="3"/>
      <c r="N17" s="12"/>
      <c r="O17" s="3">
        <v>3</v>
      </c>
      <c r="P17" s="4">
        <v>1</v>
      </c>
      <c r="Q17" s="4"/>
      <c r="R17" s="4"/>
      <c r="S17" s="4"/>
      <c r="V17" s="3">
        <v>3</v>
      </c>
      <c r="W17" s="4">
        <v>2.72</v>
      </c>
      <c r="X17" s="4"/>
      <c r="Y17" s="4"/>
      <c r="Z17" s="4"/>
      <c r="AC17" s="3">
        <v>3</v>
      </c>
      <c r="AD17" s="4">
        <v>1</v>
      </c>
      <c r="AE17" s="3"/>
      <c r="AF17" s="3"/>
      <c r="AG17" s="3"/>
      <c r="AH17" s="13"/>
      <c r="AI17" s="13"/>
      <c r="AJ17" s="3">
        <v>3</v>
      </c>
      <c r="AK17" s="4">
        <v>2.73</v>
      </c>
      <c r="AL17" s="3"/>
      <c r="AM17" s="3"/>
      <c r="AN17" s="3"/>
      <c r="AO17" s="13"/>
      <c r="AP17" s="12"/>
      <c r="AQ17" s="3">
        <v>3</v>
      </c>
      <c r="AR17" s="4">
        <v>1</v>
      </c>
      <c r="AS17" s="4"/>
      <c r="AT17" s="4"/>
      <c r="AU17" s="4"/>
      <c r="AV17" s="13"/>
      <c r="AW17" s="13"/>
      <c r="AX17" s="3">
        <v>3</v>
      </c>
      <c r="AY17" s="4">
        <v>2.73</v>
      </c>
      <c r="AZ17" s="4"/>
      <c r="BA17" s="4"/>
      <c r="BB17" s="4"/>
      <c r="BC17" s="13"/>
    </row>
    <row r="18" spans="1:55" ht="15.5" x14ac:dyDescent="0.35">
      <c r="A18" s="3">
        <v>4</v>
      </c>
      <c r="B18" s="4">
        <v>2.58</v>
      </c>
      <c r="C18" s="3"/>
      <c r="D18" s="3"/>
      <c r="E18" s="3"/>
      <c r="H18" s="3"/>
      <c r="I18" s="4"/>
      <c r="J18" s="3"/>
      <c r="K18" s="3"/>
      <c r="L18" s="3"/>
      <c r="N18" s="12"/>
      <c r="O18" s="3">
        <v>4</v>
      </c>
      <c r="P18" s="4">
        <v>3.62</v>
      </c>
      <c r="Q18" s="4"/>
      <c r="R18" s="4"/>
      <c r="S18" s="4"/>
      <c r="V18" s="3"/>
      <c r="W18" s="4"/>
      <c r="X18" s="4"/>
      <c r="Y18" s="4"/>
      <c r="Z18" s="4"/>
      <c r="AC18" s="3">
        <v>4</v>
      </c>
      <c r="AD18" s="4">
        <v>3.58</v>
      </c>
      <c r="AE18" s="3"/>
      <c r="AF18" s="3"/>
      <c r="AG18" s="3"/>
      <c r="AH18" s="13"/>
      <c r="AI18" s="13"/>
      <c r="AJ18" s="3"/>
      <c r="AK18" s="4"/>
      <c r="AL18" s="3"/>
      <c r="AM18" s="3"/>
      <c r="AN18" s="3"/>
      <c r="AO18" s="13"/>
      <c r="AP18" s="12"/>
      <c r="AQ18" s="3">
        <v>4</v>
      </c>
      <c r="AR18" s="4">
        <v>3.39</v>
      </c>
      <c r="AS18" s="4"/>
      <c r="AT18" s="4"/>
      <c r="AU18" s="4"/>
      <c r="AV18" s="13"/>
      <c r="AW18" s="13"/>
      <c r="AX18" s="3"/>
      <c r="AY18" s="4"/>
      <c r="AZ18" s="4"/>
      <c r="BA18" s="4"/>
      <c r="BB18" s="4"/>
      <c r="BC18" s="13"/>
    </row>
    <row r="19" spans="1:55" ht="15.5" x14ac:dyDescent="0.35">
      <c r="A19" s="3">
        <v>5</v>
      </c>
      <c r="B19" s="4">
        <v>1.97</v>
      </c>
      <c r="C19" s="3"/>
      <c r="D19" s="3"/>
      <c r="E19" s="3"/>
      <c r="H19" s="3"/>
      <c r="I19" s="4"/>
      <c r="J19" s="3"/>
      <c r="K19" s="3"/>
      <c r="L19" s="3"/>
      <c r="N19" s="12"/>
      <c r="O19" s="3">
        <v>5</v>
      </c>
      <c r="P19" s="4">
        <v>3.65</v>
      </c>
      <c r="Q19" s="4"/>
      <c r="R19" s="4"/>
      <c r="S19" s="4"/>
      <c r="V19" s="3"/>
      <c r="W19" s="4"/>
      <c r="X19" s="4"/>
      <c r="Y19" s="4"/>
      <c r="Z19" s="4"/>
      <c r="AC19" s="3">
        <v>5</v>
      </c>
      <c r="AD19" s="4">
        <v>1.5</v>
      </c>
      <c r="AE19" s="3"/>
      <c r="AF19" s="3"/>
      <c r="AG19" s="3"/>
      <c r="AH19" s="13"/>
      <c r="AI19" s="13"/>
      <c r="AJ19" s="3"/>
      <c r="AK19" s="4"/>
      <c r="AL19" s="3"/>
      <c r="AM19" s="3"/>
      <c r="AN19" s="3"/>
      <c r="AO19" s="13"/>
      <c r="AP19" s="12"/>
      <c r="AQ19" s="3">
        <v>5</v>
      </c>
      <c r="AR19" s="4">
        <v>2.1800000000000002</v>
      </c>
      <c r="AS19" s="4"/>
      <c r="AT19" s="4"/>
      <c r="AU19" s="4"/>
      <c r="AV19" s="13"/>
      <c r="AW19" s="13"/>
      <c r="AX19" s="3"/>
      <c r="AY19" s="4"/>
      <c r="AZ19" s="4"/>
      <c r="BA19" s="4"/>
      <c r="BB19" s="4"/>
      <c r="BC19" s="13"/>
    </row>
    <row r="20" spans="1:55" ht="15.5" x14ac:dyDescent="0.35">
      <c r="A20" s="3">
        <v>6</v>
      </c>
      <c r="B20" s="4">
        <v>1</v>
      </c>
      <c r="C20" s="3"/>
      <c r="D20" s="3"/>
      <c r="E20" s="3"/>
      <c r="H20" s="3"/>
      <c r="I20" s="4"/>
      <c r="J20" s="3"/>
      <c r="K20" s="3"/>
      <c r="L20" s="3"/>
      <c r="N20" s="15" t="s">
        <v>7</v>
      </c>
      <c r="O20" s="3">
        <v>6</v>
      </c>
      <c r="P20" s="4">
        <v>3.61</v>
      </c>
      <c r="Q20" s="4"/>
      <c r="R20" s="4"/>
      <c r="S20" s="4"/>
      <c r="V20" s="3"/>
      <c r="W20" s="4"/>
      <c r="X20" s="4"/>
      <c r="Y20" s="4"/>
      <c r="Z20" s="4"/>
      <c r="AC20" s="3">
        <v>6</v>
      </c>
      <c r="AD20" s="4">
        <v>3.24</v>
      </c>
      <c r="AE20" s="3"/>
      <c r="AF20" s="3"/>
      <c r="AG20" s="3"/>
      <c r="AH20" s="13"/>
      <c r="AI20" s="13"/>
      <c r="AJ20" s="3"/>
      <c r="AK20" s="4"/>
      <c r="AL20" s="3"/>
      <c r="AM20" s="3"/>
      <c r="AN20" s="3"/>
      <c r="AO20" s="13"/>
      <c r="AP20" s="15" t="s">
        <v>8</v>
      </c>
      <c r="AQ20" s="3">
        <v>6</v>
      </c>
      <c r="AR20" s="4">
        <v>2.8</v>
      </c>
      <c r="AS20" s="4"/>
      <c r="AT20" s="4"/>
      <c r="AU20" s="4"/>
      <c r="AV20" s="13"/>
      <c r="AW20" s="13"/>
      <c r="AX20" s="3"/>
      <c r="AY20" s="4"/>
      <c r="AZ20" s="4"/>
      <c r="BA20" s="4"/>
      <c r="BB20" s="4"/>
      <c r="BC20" s="13"/>
    </row>
    <row r="21" spans="1:55" ht="15.5" x14ac:dyDescent="0.35">
      <c r="A21" s="3">
        <v>7</v>
      </c>
      <c r="B21" s="4">
        <v>1</v>
      </c>
      <c r="C21" s="3"/>
      <c r="D21" s="3"/>
      <c r="E21" s="3"/>
      <c r="H21" s="3"/>
      <c r="I21" s="4"/>
      <c r="J21" s="3"/>
      <c r="K21" s="3"/>
      <c r="L21" s="3"/>
      <c r="N21" s="12"/>
      <c r="O21" s="3">
        <v>7</v>
      </c>
      <c r="P21" s="4">
        <v>1</v>
      </c>
      <c r="Q21" s="4"/>
      <c r="R21" s="4"/>
      <c r="S21" s="4"/>
      <c r="V21" s="3"/>
      <c r="W21" s="4"/>
      <c r="X21" s="4"/>
      <c r="Y21" s="4"/>
      <c r="Z21" s="4"/>
      <c r="AC21" s="3">
        <v>7</v>
      </c>
      <c r="AD21" s="4">
        <v>1</v>
      </c>
      <c r="AE21" s="16"/>
      <c r="AF21" s="16"/>
      <c r="AG21" s="16"/>
      <c r="AH21" s="13"/>
      <c r="AI21" s="13"/>
      <c r="AJ21" s="3"/>
      <c r="AK21" s="4"/>
      <c r="AL21" s="3"/>
      <c r="AM21" s="3"/>
      <c r="AN21" s="3"/>
      <c r="AO21" s="13"/>
      <c r="AP21" s="15"/>
      <c r="AQ21" s="3">
        <v>7</v>
      </c>
      <c r="AR21" s="4">
        <v>1</v>
      </c>
      <c r="AS21" s="4"/>
      <c r="AT21" s="4"/>
      <c r="AU21" s="4"/>
      <c r="AV21" s="13"/>
      <c r="AW21" s="13"/>
      <c r="AX21" s="3"/>
      <c r="AY21" s="4"/>
      <c r="AZ21" s="4"/>
      <c r="BA21" s="4"/>
      <c r="BB21" s="4"/>
      <c r="BC21" s="13"/>
    </row>
    <row r="22" spans="1:55" ht="15.5" x14ac:dyDescent="0.35">
      <c r="D22" s="11"/>
      <c r="K22" s="11"/>
      <c r="N22" s="12"/>
      <c r="R22" s="11"/>
      <c r="Y22" s="11"/>
      <c r="AC22" s="13"/>
      <c r="AD22" s="13"/>
      <c r="AE22" s="17"/>
      <c r="AF22" s="18"/>
      <c r="AG22" s="17"/>
      <c r="AH22" s="17"/>
      <c r="AI22" s="13"/>
      <c r="AJ22" s="13"/>
      <c r="AK22" s="13"/>
      <c r="AL22" s="13"/>
      <c r="AM22" s="11"/>
      <c r="AN22" s="13"/>
      <c r="AO22" s="13"/>
      <c r="AP22" s="12"/>
      <c r="AQ22" s="13"/>
      <c r="AR22" s="13"/>
      <c r="AS22" s="13"/>
      <c r="AT22" s="11"/>
      <c r="AU22" s="13"/>
      <c r="AV22" s="13"/>
      <c r="AW22" s="13"/>
      <c r="AX22" s="13"/>
      <c r="AY22" s="13"/>
      <c r="AZ22" s="13"/>
      <c r="BA22" s="11"/>
      <c r="BB22" s="13"/>
      <c r="BC22" s="13"/>
    </row>
    <row r="23" spans="1:55" x14ac:dyDescent="0.35">
      <c r="N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2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</row>
    <row r="24" spans="1:55" ht="93" customHeight="1" x14ac:dyDescent="0.35">
      <c r="B24" s="10" t="s">
        <v>4</v>
      </c>
      <c r="D24" s="26" t="s">
        <v>6</v>
      </c>
      <c r="E24" s="26"/>
      <c r="F24" s="26"/>
      <c r="I24" s="10" t="s">
        <v>4</v>
      </c>
      <c r="K24" s="26" t="s">
        <v>6</v>
      </c>
      <c r="L24" s="26"/>
      <c r="M24" s="26"/>
      <c r="N24" s="12"/>
      <c r="P24" s="10" t="s">
        <v>4</v>
      </c>
      <c r="R24" s="26" t="s">
        <v>6</v>
      </c>
      <c r="S24" s="26"/>
      <c r="T24" s="26"/>
      <c r="W24" s="10" t="s">
        <v>4</v>
      </c>
      <c r="Y24" s="26" t="s">
        <v>6</v>
      </c>
      <c r="Z24" s="26"/>
      <c r="AA24" s="26"/>
      <c r="AC24" s="13"/>
      <c r="AD24" s="10" t="s">
        <v>4</v>
      </c>
      <c r="AE24" s="13"/>
      <c r="AF24" s="26" t="s">
        <v>6</v>
      </c>
      <c r="AG24" s="26"/>
      <c r="AH24" s="26"/>
      <c r="AI24" s="13"/>
      <c r="AJ24" s="13"/>
      <c r="AK24" s="10" t="s">
        <v>4</v>
      </c>
      <c r="AL24" s="13"/>
      <c r="AM24" s="26" t="s">
        <v>6</v>
      </c>
      <c r="AN24" s="26"/>
      <c r="AO24" s="26"/>
      <c r="AP24" s="12"/>
      <c r="AQ24" s="13"/>
      <c r="AR24" s="10" t="s">
        <v>4</v>
      </c>
      <c r="AS24" s="13"/>
      <c r="AT24" s="26" t="s">
        <v>6</v>
      </c>
      <c r="AU24" s="26"/>
      <c r="AV24" s="26"/>
      <c r="AW24" s="13"/>
      <c r="AX24" s="13"/>
      <c r="AY24" s="10" t="s">
        <v>4</v>
      </c>
      <c r="AZ24" s="13"/>
      <c r="BA24" s="26" t="s">
        <v>6</v>
      </c>
      <c r="BB24" s="26"/>
      <c r="BC24" s="26"/>
    </row>
    <row r="25" spans="1:55" ht="21" x14ac:dyDescent="0.5">
      <c r="B25" s="8">
        <f>AVERAGE(B15:B22)</f>
        <v>1.9371428571428573</v>
      </c>
      <c r="F25" s="9">
        <v>3</v>
      </c>
      <c r="I25" s="8">
        <f>AVERAGE(I15:I22)</f>
        <v>1.45</v>
      </c>
      <c r="M25" s="9">
        <v>2</v>
      </c>
      <c r="N25" s="12"/>
      <c r="P25" s="8">
        <f>AVERAGE(P15:P22)</f>
        <v>2.1257142857142854</v>
      </c>
      <c r="T25" s="9">
        <v>4</v>
      </c>
      <c r="W25" s="8">
        <f>AVERAGE(W15:W22)</f>
        <v>1.5733333333333335</v>
      </c>
      <c r="AA25" s="9">
        <v>2</v>
      </c>
      <c r="AC25" s="13"/>
      <c r="AD25" s="8">
        <f>AVERAGE(AD15:AD22)</f>
        <v>1.76</v>
      </c>
      <c r="AE25" s="13"/>
      <c r="AF25" s="13"/>
      <c r="AG25" s="13"/>
      <c r="AH25" s="9">
        <v>4</v>
      </c>
      <c r="AI25" s="13"/>
      <c r="AJ25" s="13"/>
      <c r="AK25" s="8">
        <f>AVERAGE(AK15:AK22)</f>
        <v>1.5766666666666669</v>
      </c>
      <c r="AL25" s="13"/>
      <c r="AM25" s="13"/>
      <c r="AN25" s="13"/>
      <c r="AO25" s="9">
        <v>2</v>
      </c>
      <c r="AP25" s="12"/>
      <c r="AQ25" s="13"/>
      <c r="AR25" s="8">
        <f>AVERAGE(AR15:AR22)</f>
        <v>1.7671428571428573</v>
      </c>
      <c r="AS25" s="13"/>
      <c r="AT25" s="13"/>
      <c r="AU25" s="13"/>
      <c r="AV25" s="9">
        <v>4</v>
      </c>
      <c r="AW25" s="13"/>
      <c r="AX25" s="13"/>
      <c r="AY25" s="8">
        <f>AVERAGE(AY15:AY22)</f>
        <v>1.5766666666666669</v>
      </c>
      <c r="AZ25" s="13"/>
      <c r="BA25" s="13"/>
      <c r="BB25" s="13"/>
      <c r="BC25" s="9">
        <v>2</v>
      </c>
    </row>
    <row r="26" spans="1:55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</row>
    <row r="27" spans="1:55" ht="77.5" x14ac:dyDescent="0.35">
      <c r="A27" s="5" t="s">
        <v>2</v>
      </c>
      <c r="B27" s="5" t="s">
        <v>5</v>
      </c>
      <c r="C27" s="5" t="s">
        <v>0</v>
      </c>
      <c r="D27" s="5" t="s">
        <v>1</v>
      </c>
      <c r="E27" s="5" t="s">
        <v>3</v>
      </c>
      <c r="H27" s="5" t="s">
        <v>2</v>
      </c>
      <c r="I27" s="5" t="s">
        <v>5</v>
      </c>
      <c r="J27" s="5" t="s">
        <v>0</v>
      </c>
      <c r="K27" s="5" t="s">
        <v>1</v>
      </c>
      <c r="L27" s="5" t="s">
        <v>3</v>
      </c>
      <c r="N27" s="12"/>
      <c r="O27" s="5" t="s">
        <v>2</v>
      </c>
      <c r="P27" s="5" t="s">
        <v>5</v>
      </c>
      <c r="Q27" s="5" t="s">
        <v>0</v>
      </c>
      <c r="R27" s="5" t="s">
        <v>1</v>
      </c>
      <c r="S27" s="5" t="s">
        <v>3</v>
      </c>
      <c r="V27" s="5" t="s">
        <v>2</v>
      </c>
      <c r="W27" s="5" t="s">
        <v>5</v>
      </c>
      <c r="X27" s="5" t="s">
        <v>0</v>
      </c>
      <c r="Y27" s="5" t="s">
        <v>1</v>
      </c>
      <c r="Z27" s="5" t="s">
        <v>3</v>
      </c>
      <c r="AC27" s="5" t="s">
        <v>2</v>
      </c>
      <c r="AD27" s="5" t="s">
        <v>5</v>
      </c>
      <c r="AE27" s="5" t="s">
        <v>0</v>
      </c>
      <c r="AF27" s="5" t="s">
        <v>1</v>
      </c>
      <c r="AG27" s="5" t="s">
        <v>3</v>
      </c>
      <c r="AH27" s="13"/>
      <c r="AI27" s="13"/>
      <c r="AJ27" s="5" t="s">
        <v>2</v>
      </c>
      <c r="AK27" s="5" t="s">
        <v>5</v>
      </c>
      <c r="AL27" s="5" t="s">
        <v>0</v>
      </c>
      <c r="AM27" s="5" t="s">
        <v>1</v>
      </c>
      <c r="AN27" s="5" t="s">
        <v>3</v>
      </c>
      <c r="AO27" s="13"/>
      <c r="AP27" s="12"/>
      <c r="AQ27" s="5" t="s">
        <v>2</v>
      </c>
      <c r="AR27" s="5" t="s">
        <v>5</v>
      </c>
      <c r="AS27" s="5" t="s">
        <v>0</v>
      </c>
      <c r="AT27" s="5" t="s">
        <v>1</v>
      </c>
      <c r="AU27" s="5" t="s">
        <v>3</v>
      </c>
      <c r="AV27" s="13"/>
      <c r="AW27" s="13"/>
      <c r="AX27" s="5" t="s">
        <v>2</v>
      </c>
      <c r="AY27" s="5" t="s">
        <v>5</v>
      </c>
      <c r="AZ27" s="5" t="s">
        <v>0</v>
      </c>
      <c r="BA27" s="5" t="s">
        <v>1</v>
      </c>
      <c r="BB27" s="5" t="s">
        <v>3</v>
      </c>
      <c r="BC27" s="13"/>
    </row>
    <row r="28" spans="1:55" ht="15.5" x14ac:dyDescent="0.35">
      <c r="A28" s="3">
        <v>1</v>
      </c>
      <c r="B28" s="4">
        <v>3.5</v>
      </c>
      <c r="C28" s="3"/>
      <c r="D28" s="3"/>
      <c r="E28" s="3"/>
      <c r="H28" s="3">
        <v>1</v>
      </c>
      <c r="I28" s="4"/>
      <c r="J28" s="3"/>
      <c r="K28" s="3"/>
      <c r="L28" s="3"/>
      <c r="N28" s="12"/>
      <c r="O28" s="3">
        <v>1</v>
      </c>
      <c r="P28" s="4">
        <v>1</v>
      </c>
      <c r="Q28" s="3"/>
      <c r="R28" s="3"/>
      <c r="S28" s="3"/>
      <c r="V28" s="3">
        <v>1</v>
      </c>
      <c r="W28" s="4">
        <v>1</v>
      </c>
      <c r="X28" s="4"/>
      <c r="Y28" s="4"/>
      <c r="Z28" s="4"/>
      <c r="AC28" s="3">
        <v>1</v>
      </c>
      <c r="AD28" s="4">
        <v>1</v>
      </c>
      <c r="AE28" s="3"/>
      <c r="AF28" s="3"/>
      <c r="AG28" s="3"/>
      <c r="AH28" s="13"/>
      <c r="AI28" s="13"/>
      <c r="AJ28" s="3">
        <v>1</v>
      </c>
      <c r="AK28" s="4">
        <v>1</v>
      </c>
      <c r="AL28" s="3"/>
      <c r="AM28" s="3"/>
      <c r="AN28" s="3"/>
      <c r="AO28" s="13"/>
      <c r="AP28" s="12"/>
      <c r="AQ28" s="3">
        <v>1</v>
      </c>
      <c r="AR28" s="4">
        <v>1</v>
      </c>
      <c r="AS28" s="3"/>
      <c r="AT28" s="3"/>
      <c r="AU28" s="3"/>
      <c r="AV28" s="13"/>
      <c r="AW28" s="13"/>
      <c r="AX28" s="3">
        <v>1</v>
      </c>
      <c r="AY28" s="4">
        <v>1</v>
      </c>
      <c r="AZ28" s="4"/>
      <c r="BA28" s="4"/>
      <c r="BB28" s="4"/>
      <c r="BC28" s="13"/>
    </row>
    <row r="29" spans="1:55" ht="15.5" x14ac:dyDescent="0.35">
      <c r="A29" s="3">
        <v>2</v>
      </c>
      <c r="B29" s="4">
        <v>1.7</v>
      </c>
      <c r="C29" s="3"/>
      <c r="D29" s="3"/>
      <c r="E29" s="3"/>
      <c r="H29" s="3">
        <v>2</v>
      </c>
      <c r="I29" s="4"/>
      <c r="J29" s="3"/>
      <c r="K29" s="3"/>
      <c r="L29" s="3"/>
      <c r="N29" s="12"/>
      <c r="O29" s="3">
        <v>2</v>
      </c>
      <c r="P29" s="4">
        <v>1</v>
      </c>
      <c r="Q29" s="3"/>
      <c r="R29" s="3"/>
      <c r="S29" s="3"/>
      <c r="V29" s="3">
        <v>2</v>
      </c>
      <c r="W29" s="4">
        <v>1</v>
      </c>
      <c r="X29" s="4"/>
      <c r="Y29" s="4"/>
      <c r="Z29" s="4"/>
      <c r="AC29" s="3">
        <v>2</v>
      </c>
      <c r="AD29" s="4">
        <v>1</v>
      </c>
      <c r="AE29" s="3"/>
      <c r="AF29" s="3"/>
      <c r="AG29" s="3"/>
      <c r="AH29" s="13"/>
      <c r="AI29" s="13"/>
      <c r="AJ29" s="3">
        <v>2</v>
      </c>
      <c r="AK29" s="4">
        <v>1</v>
      </c>
      <c r="AL29" s="3"/>
      <c r="AM29" s="3"/>
      <c r="AN29" s="3"/>
      <c r="AO29" s="13"/>
      <c r="AP29" s="12"/>
      <c r="AQ29" s="3">
        <v>2</v>
      </c>
      <c r="AR29" s="4">
        <v>1</v>
      </c>
      <c r="AS29" s="3"/>
      <c r="AT29" s="3"/>
      <c r="AU29" s="3"/>
      <c r="AV29" s="13"/>
      <c r="AW29" s="13"/>
      <c r="AX29" s="3">
        <v>2</v>
      </c>
      <c r="AY29" s="4">
        <v>1</v>
      </c>
      <c r="AZ29" s="4"/>
      <c r="BA29" s="4"/>
      <c r="BB29" s="4"/>
      <c r="BC29" s="13"/>
    </row>
    <row r="30" spans="1:55" ht="15.5" x14ac:dyDescent="0.35">
      <c r="A30" s="3">
        <v>3</v>
      </c>
      <c r="B30" s="4">
        <v>1.61</v>
      </c>
      <c r="C30" s="3"/>
      <c r="D30" s="3"/>
      <c r="E30" s="3"/>
      <c r="H30" s="3">
        <v>3</v>
      </c>
      <c r="I30" s="4"/>
      <c r="J30" s="3"/>
      <c r="K30" s="3"/>
      <c r="L30" s="3"/>
      <c r="N30" s="12"/>
      <c r="O30" s="3">
        <v>3</v>
      </c>
      <c r="P30" s="4">
        <v>1</v>
      </c>
      <c r="Q30" s="3"/>
      <c r="R30" s="3"/>
      <c r="S30" s="3"/>
      <c r="V30" s="3">
        <v>3</v>
      </c>
      <c r="W30" s="4">
        <v>2.72</v>
      </c>
      <c r="X30" s="4"/>
      <c r="Y30" s="4"/>
      <c r="Z30" s="4"/>
      <c r="AC30" s="3">
        <v>3</v>
      </c>
      <c r="AD30" s="4">
        <v>1</v>
      </c>
      <c r="AE30" s="3"/>
      <c r="AF30" s="3"/>
      <c r="AG30" s="3"/>
      <c r="AH30" s="13"/>
      <c r="AI30" s="13"/>
      <c r="AJ30" s="3">
        <v>3</v>
      </c>
      <c r="AK30" s="4">
        <v>2.73</v>
      </c>
      <c r="AL30" s="3"/>
      <c r="AM30" s="3"/>
      <c r="AN30" s="3"/>
      <c r="AO30" s="13"/>
      <c r="AP30" s="12"/>
      <c r="AQ30" s="3">
        <v>3</v>
      </c>
      <c r="AR30" s="4">
        <v>1</v>
      </c>
      <c r="AS30" s="3"/>
      <c r="AT30" s="3"/>
      <c r="AU30" s="3"/>
      <c r="AV30" s="13"/>
      <c r="AW30" s="13"/>
      <c r="AX30" s="3">
        <v>3</v>
      </c>
      <c r="AY30" s="4">
        <v>2.73</v>
      </c>
      <c r="AZ30" s="4"/>
      <c r="BA30" s="4"/>
      <c r="BB30" s="4"/>
      <c r="BC30" s="13"/>
    </row>
    <row r="31" spans="1:55" ht="15.5" x14ac:dyDescent="0.35">
      <c r="A31" s="3">
        <v>4</v>
      </c>
      <c r="B31" s="4">
        <v>1</v>
      </c>
      <c r="C31" s="3"/>
      <c r="D31" s="3"/>
      <c r="E31" s="3"/>
      <c r="H31" s="3"/>
      <c r="I31" s="4"/>
      <c r="J31" s="3"/>
      <c r="K31" s="3"/>
      <c r="L31" s="3"/>
      <c r="N31" s="12"/>
      <c r="O31" s="3">
        <v>4</v>
      </c>
      <c r="P31" s="4">
        <v>3.62</v>
      </c>
      <c r="Q31" s="3"/>
      <c r="R31" s="3"/>
      <c r="S31" s="3"/>
      <c r="V31" s="3"/>
      <c r="W31" s="4"/>
      <c r="X31" s="4"/>
      <c r="Y31" s="4"/>
      <c r="Z31" s="4"/>
      <c r="AC31" s="3">
        <v>4</v>
      </c>
      <c r="AD31" s="4">
        <v>3.58</v>
      </c>
      <c r="AE31" s="3"/>
      <c r="AF31" s="3"/>
      <c r="AG31" s="3"/>
      <c r="AH31" s="13"/>
      <c r="AI31" s="13"/>
      <c r="AJ31" s="3"/>
      <c r="AK31" s="4"/>
      <c r="AL31" s="3"/>
      <c r="AM31" s="3"/>
      <c r="AN31" s="3"/>
      <c r="AO31" s="13"/>
      <c r="AP31" s="12"/>
      <c r="AQ31" s="3">
        <v>4</v>
      </c>
      <c r="AR31" s="4">
        <v>3.39</v>
      </c>
      <c r="AS31" s="3"/>
      <c r="AT31" s="3"/>
      <c r="AU31" s="3"/>
      <c r="AV31" s="13"/>
      <c r="AW31" s="13"/>
      <c r="AX31" s="3"/>
      <c r="AY31" s="4"/>
      <c r="AZ31" s="4"/>
      <c r="BA31" s="4"/>
      <c r="BB31" s="4"/>
      <c r="BC31" s="13"/>
    </row>
    <row r="32" spans="1:55" ht="15.5" x14ac:dyDescent="0.35">
      <c r="A32" s="3">
        <v>5</v>
      </c>
      <c r="B32" s="4">
        <v>1.54</v>
      </c>
      <c r="C32" s="3"/>
      <c r="D32" s="3"/>
      <c r="E32" s="3"/>
      <c r="H32" s="3"/>
      <c r="I32" s="4"/>
      <c r="J32" s="3"/>
      <c r="K32" s="3"/>
      <c r="L32" s="3"/>
      <c r="N32" s="12"/>
      <c r="O32" s="3">
        <v>5</v>
      </c>
      <c r="P32" s="4">
        <v>3.65</v>
      </c>
      <c r="Q32" s="3"/>
      <c r="R32" s="3"/>
      <c r="S32" s="3"/>
      <c r="V32" s="3"/>
      <c r="W32" s="4"/>
      <c r="X32" s="4"/>
      <c r="Y32" s="4"/>
      <c r="Z32" s="4"/>
      <c r="AC32" s="3">
        <v>5</v>
      </c>
      <c r="AD32" s="4">
        <v>1.5</v>
      </c>
      <c r="AE32" s="3"/>
      <c r="AF32" s="3"/>
      <c r="AG32" s="3"/>
      <c r="AH32" s="13"/>
      <c r="AI32" s="13"/>
      <c r="AJ32" s="3"/>
      <c r="AK32" s="4"/>
      <c r="AL32" s="3"/>
      <c r="AM32" s="3"/>
      <c r="AN32" s="3"/>
      <c r="AO32" s="13"/>
      <c r="AP32" s="12"/>
      <c r="AQ32" s="3">
        <v>5</v>
      </c>
      <c r="AR32" s="4">
        <v>2.1800000000000002</v>
      </c>
      <c r="AS32" s="3"/>
      <c r="AT32" s="3"/>
      <c r="AU32" s="3"/>
      <c r="AV32" s="13"/>
      <c r="AW32" s="13"/>
      <c r="AX32" s="3"/>
      <c r="AY32" s="4"/>
      <c r="AZ32" s="4"/>
      <c r="BA32" s="4"/>
      <c r="BB32" s="4"/>
      <c r="BC32" s="13"/>
    </row>
    <row r="33" spans="1:55" ht="15.5" x14ac:dyDescent="0.35">
      <c r="A33" s="3">
        <v>6</v>
      </c>
      <c r="B33" s="4">
        <v>1</v>
      </c>
      <c r="C33" s="3"/>
      <c r="D33" s="3"/>
      <c r="E33" s="3"/>
      <c r="H33" s="3"/>
      <c r="I33" s="4"/>
      <c r="J33" s="3"/>
      <c r="K33" s="3"/>
      <c r="L33" s="3"/>
      <c r="N33" s="12"/>
      <c r="O33" s="3">
        <v>6</v>
      </c>
      <c r="P33" s="4">
        <v>3.61</v>
      </c>
      <c r="Q33" s="3"/>
      <c r="R33" s="3"/>
      <c r="S33" s="3"/>
      <c r="V33" s="3"/>
      <c r="W33" s="4"/>
      <c r="X33" s="4"/>
      <c r="Y33" s="4"/>
      <c r="Z33" s="4"/>
      <c r="AC33" s="3">
        <v>6</v>
      </c>
      <c r="AD33" s="4">
        <v>3.24</v>
      </c>
      <c r="AE33" s="3"/>
      <c r="AF33" s="3"/>
      <c r="AG33" s="3"/>
      <c r="AH33" s="13"/>
      <c r="AI33" s="13"/>
      <c r="AJ33" s="3"/>
      <c r="AK33" s="4"/>
      <c r="AL33" s="3"/>
      <c r="AM33" s="3"/>
      <c r="AN33" s="3"/>
      <c r="AO33" s="13"/>
      <c r="AP33" s="12"/>
      <c r="AQ33" s="3">
        <v>6</v>
      </c>
      <c r="AR33" s="4">
        <v>2.8</v>
      </c>
      <c r="AS33" s="3"/>
      <c r="AT33" s="3"/>
      <c r="AU33" s="3"/>
      <c r="AV33" s="13"/>
      <c r="AW33" s="13"/>
      <c r="AX33" s="3"/>
      <c r="AY33" s="4"/>
      <c r="AZ33" s="4"/>
      <c r="BA33" s="4"/>
      <c r="BB33" s="4"/>
      <c r="BC33" s="13"/>
    </row>
    <row r="34" spans="1:55" ht="15.5" x14ac:dyDescent="0.35">
      <c r="A34" s="3">
        <v>7</v>
      </c>
      <c r="B34" s="4">
        <v>1</v>
      </c>
      <c r="C34" s="3"/>
      <c r="D34" s="3"/>
      <c r="E34" s="3"/>
      <c r="H34" s="3"/>
      <c r="I34" s="4"/>
      <c r="J34" s="3"/>
      <c r="K34" s="3"/>
      <c r="L34" s="3"/>
      <c r="N34" s="12"/>
      <c r="O34" s="3">
        <v>7</v>
      </c>
      <c r="P34" s="4">
        <v>1</v>
      </c>
      <c r="Q34" s="3"/>
      <c r="R34" s="3"/>
      <c r="S34" s="3"/>
      <c r="V34" s="3"/>
      <c r="W34" s="4"/>
      <c r="X34" s="4"/>
      <c r="Y34" s="4"/>
      <c r="Z34" s="4"/>
      <c r="AC34" s="3">
        <v>7</v>
      </c>
      <c r="AD34" s="4">
        <v>1</v>
      </c>
      <c r="AE34" s="3"/>
      <c r="AF34" s="3"/>
      <c r="AG34" s="3"/>
      <c r="AH34" s="13"/>
      <c r="AI34" s="13"/>
      <c r="AJ34" s="3"/>
      <c r="AK34" s="4"/>
      <c r="AL34" s="3"/>
      <c r="AM34" s="3"/>
      <c r="AN34" s="3"/>
      <c r="AO34" s="13"/>
      <c r="AP34" s="12"/>
      <c r="AQ34" s="3">
        <v>7</v>
      </c>
      <c r="AR34" s="4">
        <v>1</v>
      </c>
      <c r="AS34" s="3"/>
      <c r="AT34" s="3"/>
      <c r="AU34" s="3"/>
      <c r="AV34" s="13"/>
      <c r="AW34" s="13"/>
      <c r="AX34" s="3"/>
      <c r="AY34" s="4"/>
      <c r="AZ34" s="4"/>
      <c r="BA34" s="4"/>
      <c r="BB34" s="4"/>
      <c r="BC34" s="13"/>
    </row>
    <row r="35" spans="1:55" ht="15.5" x14ac:dyDescent="0.35">
      <c r="D35" s="11"/>
      <c r="K35" s="11"/>
      <c r="N35" s="12"/>
      <c r="R35" s="11"/>
      <c r="Y35" s="11"/>
      <c r="AC35" s="13"/>
      <c r="AD35" s="13"/>
      <c r="AE35" s="13"/>
      <c r="AF35" s="11"/>
      <c r="AG35" s="13"/>
      <c r="AH35" s="13"/>
      <c r="AI35" s="13"/>
      <c r="AJ35" s="13"/>
      <c r="AK35" s="13"/>
      <c r="AL35" s="13"/>
      <c r="AM35" s="11"/>
      <c r="AN35" s="13"/>
      <c r="AO35" s="13"/>
      <c r="AP35" s="12"/>
      <c r="AQ35" s="13"/>
      <c r="AR35" s="13"/>
      <c r="AS35" s="13"/>
      <c r="AT35" s="11"/>
      <c r="AU35" s="13"/>
      <c r="AV35" s="13"/>
      <c r="AW35" s="13"/>
      <c r="AX35" s="13"/>
      <c r="AY35" s="13"/>
      <c r="AZ35" s="13"/>
      <c r="BA35" s="11"/>
      <c r="BB35" s="13"/>
      <c r="BC35" s="13"/>
    </row>
    <row r="36" spans="1:55" x14ac:dyDescent="0.35">
      <c r="N36" s="12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2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</row>
    <row r="37" spans="1:55" ht="93" customHeight="1" x14ac:dyDescent="0.35">
      <c r="B37" s="10" t="s">
        <v>4</v>
      </c>
      <c r="D37" s="26" t="s">
        <v>6</v>
      </c>
      <c r="E37" s="26"/>
      <c r="F37" s="26"/>
      <c r="I37" s="10" t="s">
        <v>4</v>
      </c>
      <c r="K37" s="26" t="s">
        <v>6</v>
      </c>
      <c r="L37" s="26"/>
      <c r="M37" s="26"/>
      <c r="N37" s="12"/>
      <c r="P37" s="10" t="s">
        <v>4</v>
      </c>
      <c r="R37" s="26" t="s">
        <v>6</v>
      </c>
      <c r="S37" s="26"/>
      <c r="T37" s="26"/>
      <c r="W37" s="10" t="s">
        <v>4</v>
      </c>
      <c r="Y37" s="26" t="s">
        <v>6</v>
      </c>
      <c r="Z37" s="26"/>
      <c r="AA37" s="26"/>
      <c r="AC37" s="13"/>
      <c r="AD37" s="10" t="s">
        <v>4</v>
      </c>
      <c r="AE37" s="13"/>
      <c r="AF37" s="26" t="s">
        <v>6</v>
      </c>
      <c r="AG37" s="26"/>
      <c r="AH37" s="26"/>
      <c r="AI37" s="13"/>
      <c r="AJ37" s="13"/>
      <c r="AK37" s="10" t="s">
        <v>4</v>
      </c>
      <c r="AL37" s="13"/>
      <c r="AM37" s="26" t="s">
        <v>6</v>
      </c>
      <c r="AN37" s="26"/>
      <c r="AO37" s="26"/>
      <c r="AP37" s="12"/>
      <c r="AQ37" s="13"/>
      <c r="AR37" s="10" t="s">
        <v>4</v>
      </c>
      <c r="AS37" s="13"/>
      <c r="AT37" s="26" t="s">
        <v>6</v>
      </c>
      <c r="AU37" s="26"/>
      <c r="AV37" s="26"/>
      <c r="AW37" s="13"/>
      <c r="AX37" s="13"/>
      <c r="AY37" s="10" t="s">
        <v>4</v>
      </c>
      <c r="AZ37" s="13"/>
      <c r="BA37" s="26" t="s">
        <v>6</v>
      </c>
      <c r="BB37" s="26"/>
      <c r="BC37" s="26"/>
    </row>
    <row r="38" spans="1:55" ht="21" x14ac:dyDescent="0.5">
      <c r="B38" s="8">
        <f>AVERAGE(B28:B35)</f>
        <v>1.6214285714285717</v>
      </c>
      <c r="F38" s="9">
        <v>3</v>
      </c>
      <c r="I38" s="8" t="e">
        <f>AVERAGE(I28:I35)</f>
        <v>#DIV/0!</v>
      </c>
      <c r="M38" s="9">
        <v>2</v>
      </c>
      <c r="N38" s="12"/>
      <c r="P38" s="8">
        <f>AVERAGE(P28:P35)</f>
        <v>2.1257142857142854</v>
      </c>
      <c r="T38" s="9">
        <v>4</v>
      </c>
      <c r="W38" s="8">
        <f>AVERAGE(W28:W35)</f>
        <v>1.5733333333333335</v>
      </c>
      <c r="AA38" s="9">
        <v>2</v>
      </c>
      <c r="AC38" s="13"/>
      <c r="AD38" s="8">
        <f>AVERAGE(AD28:AD35)</f>
        <v>1.76</v>
      </c>
      <c r="AE38" s="13"/>
      <c r="AF38" s="13"/>
      <c r="AG38" s="13"/>
      <c r="AH38" s="9">
        <v>3</v>
      </c>
      <c r="AI38" s="13"/>
      <c r="AJ38" s="13"/>
      <c r="AK38" s="8">
        <f>AVERAGE(AK28:AK35)</f>
        <v>1.5766666666666669</v>
      </c>
      <c r="AL38" s="13"/>
      <c r="AM38" s="13"/>
      <c r="AN38" s="13"/>
      <c r="AO38" s="9">
        <v>2</v>
      </c>
      <c r="AP38" s="12"/>
      <c r="AQ38" s="13"/>
      <c r="AR38" s="8">
        <f>AVERAGE(AR28:AR35)</f>
        <v>1.7671428571428573</v>
      </c>
      <c r="AS38" s="13"/>
      <c r="AT38" s="13"/>
      <c r="AU38" s="13"/>
      <c r="AV38" s="9">
        <v>4</v>
      </c>
      <c r="AW38" s="13"/>
      <c r="AX38" s="13"/>
      <c r="AY38" s="8">
        <f>AVERAGE(AY28:AY35)</f>
        <v>1.5766666666666669</v>
      </c>
      <c r="AZ38" s="13"/>
      <c r="BA38" s="13"/>
      <c r="BB38" s="13"/>
      <c r="BC38" s="9">
        <v>2</v>
      </c>
    </row>
    <row r="39" spans="1:55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</row>
    <row r="41" spans="1:55" ht="18" x14ac:dyDescent="0.4">
      <c r="B41" s="19"/>
      <c r="C41" s="19">
        <v>8</v>
      </c>
      <c r="D41" s="19">
        <v>12</v>
      </c>
      <c r="E41" s="19">
        <v>16</v>
      </c>
      <c r="F41" s="19"/>
      <c r="G41" s="19"/>
      <c r="H41" s="19">
        <v>8</v>
      </c>
      <c r="I41" s="19">
        <v>12</v>
      </c>
      <c r="J41" s="19">
        <v>16</v>
      </c>
    </row>
    <row r="42" spans="1:55" ht="18" x14ac:dyDescent="0.4">
      <c r="B42" s="19" t="s">
        <v>9</v>
      </c>
      <c r="C42" s="20">
        <v>1.8128571428571427</v>
      </c>
      <c r="D42" s="20">
        <v>1.94</v>
      </c>
      <c r="E42" s="20">
        <v>1.62</v>
      </c>
      <c r="F42" s="19"/>
      <c r="G42" s="19" t="s">
        <v>9</v>
      </c>
      <c r="H42" s="20">
        <v>1.77</v>
      </c>
      <c r="I42" s="20">
        <v>1.76</v>
      </c>
      <c r="J42" s="20">
        <v>1.76</v>
      </c>
    </row>
    <row r="43" spans="1:55" ht="18" x14ac:dyDescent="0.4">
      <c r="B43" s="19" t="s">
        <v>10</v>
      </c>
      <c r="C43" s="20">
        <v>2.5499999999999998</v>
      </c>
      <c r="D43" s="19">
        <v>2.13</v>
      </c>
      <c r="E43" s="19">
        <v>2.13</v>
      </c>
      <c r="F43" s="19"/>
      <c r="G43" s="19" t="s">
        <v>10</v>
      </c>
      <c r="H43" s="20">
        <v>2.09</v>
      </c>
      <c r="I43" s="19">
        <v>1.77</v>
      </c>
      <c r="J43" s="19">
        <v>1.77</v>
      </c>
    </row>
    <row r="44" spans="1:55" ht="18" x14ac:dyDescent="0.4">
      <c r="B44" s="19"/>
      <c r="C44" s="20" t="s">
        <v>12</v>
      </c>
      <c r="D44" s="19" t="s">
        <v>7</v>
      </c>
      <c r="E44" s="19"/>
      <c r="F44" s="19"/>
      <c r="G44" s="19"/>
      <c r="H44" s="19" t="s">
        <v>12</v>
      </c>
      <c r="I44" s="19" t="s">
        <v>11</v>
      </c>
      <c r="J44" s="19"/>
    </row>
    <row r="45" spans="1:55" x14ac:dyDescent="0.35">
      <c r="B45" s="21"/>
      <c r="C45" s="21"/>
      <c r="D45" s="21"/>
      <c r="E45" s="21"/>
      <c r="F45" s="21"/>
      <c r="G45" s="21"/>
      <c r="H45" s="21"/>
      <c r="I45" s="21"/>
      <c r="J45" s="21"/>
    </row>
    <row r="46" spans="1:55" ht="18" x14ac:dyDescent="0.4">
      <c r="B46" s="19"/>
      <c r="C46" s="19">
        <v>8</v>
      </c>
      <c r="D46" s="19">
        <v>12</v>
      </c>
      <c r="E46" s="19">
        <v>16</v>
      </c>
      <c r="F46" s="19"/>
      <c r="G46" s="19"/>
      <c r="H46" s="19">
        <v>8</v>
      </c>
      <c r="I46" s="19">
        <v>12</v>
      </c>
      <c r="J46" s="19">
        <v>16</v>
      </c>
    </row>
    <row r="47" spans="1:55" ht="18" x14ac:dyDescent="0.4">
      <c r="B47" s="19" t="s">
        <v>9</v>
      </c>
      <c r="C47" s="20">
        <v>1.63</v>
      </c>
      <c r="D47" s="20">
        <v>1.45</v>
      </c>
      <c r="E47" s="20">
        <v>1.45</v>
      </c>
      <c r="F47" s="19"/>
      <c r="G47" s="19" t="s">
        <v>9</v>
      </c>
      <c r="H47" s="20">
        <v>1.6</v>
      </c>
      <c r="I47" s="20">
        <v>1.58</v>
      </c>
      <c r="J47" s="20">
        <v>1.58</v>
      </c>
    </row>
    <row r="48" spans="1:55" ht="18" x14ac:dyDescent="0.4">
      <c r="B48" s="19" t="s">
        <v>10</v>
      </c>
      <c r="C48" s="20">
        <v>1.63</v>
      </c>
      <c r="D48" s="19">
        <v>1.57</v>
      </c>
      <c r="E48" s="19">
        <v>1.57</v>
      </c>
      <c r="F48" s="19"/>
      <c r="G48" s="19" t="s">
        <v>10</v>
      </c>
      <c r="H48" s="20">
        <v>1.6</v>
      </c>
      <c r="I48" s="19">
        <v>1.58</v>
      </c>
      <c r="J48" s="19">
        <v>1.58</v>
      </c>
    </row>
    <row r="49" spans="2:27" ht="18" x14ac:dyDescent="0.4">
      <c r="B49" s="19"/>
      <c r="C49" s="20" t="s">
        <v>13</v>
      </c>
      <c r="D49" s="19" t="s">
        <v>7</v>
      </c>
      <c r="E49" s="19"/>
      <c r="F49" s="19"/>
      <c r="G49" s="19"/>
      <c r="H49" s="19" t="s">
        <v>13</v>
      </c>
      <c r="I49" s="19" t="s">
        <v>11</v>
      </c>
      <c r="J49" s="19"/>
    </row>
    <row r="50" spans="2:27" ht="93" customHeight="1" x14ac:dyDescent="0.35">
      <c r="B50" s="22"/>
      <c r="C50" s="22"/>
      <c r="D50" s="28"/>
      <c r="E50" s="28"/>
      <c r="F50" s="28"/>
      <c r="G50" s="22"/>
      <c r="H50" s="22"/>
      <c r="I50" s="22"/>
      <c r="J50" s="22"/>
      <c r="K50" s="27" t="s">
        <v>14</v>
      </c>
      <c r="L50" s="27"/>
      <c r="M50" s="27"/>
      <c r="R50" s="27"/>
      <c r="S50" s="27"/>
      <c r="T50" s="27"/>
      <c r="Y50" s="27"/>
      <c r="Z50" s="27"/>
      <c r="AA50" s="27"/>
    </row>
    <row r="51" spans="2:27" ht="18" x14ac:dyDescent="0.4">
      <c r="B51" s="19"/>
      <c r="C51" s="19">
        <v>8</v>
      </c>
      <c r="D51" s="19">
        <v>12</v>
      </c>
      <c r="E51" s="19">
        <v>16</v>
      </c>
      <c r="F51" s="19"/>
      <c r="G51" s="19"/>
      <c r="H51" s="19">
        <v>8</v>
      </c>
      <c r="I51" s="19">
        <v>12</v>
      </c>
      <c r="J51" s="19">
        <v>16</v>
      </c>
    </row>
    <row r="52" spans="2:27" ht="21" x14ac:dyDescent="0.5">
      <c r="B52" s="19" t="s">
        <v>9</v>
      </c>
      <c r="C52" s="23">
        <v>3</v>
      </c>
      <c r="D52" s="23">
        <v>3</v>
      </c>
      <c r="E52" s="23">
        <v>3</v>
      </c>
      <c r="F52" s="19"/>
      <c r="G52" s="19" t="s">
        <v>9</v>
      </c>
      <c r="H52" s="23">
        <v>2</v>
      </c>
      <c r="I52" s="23">
        <v>2</v>
      </c>
      <c r="J52" s="23">
        <v>2</v>
      </c>
    </row>
    <row r="53" spans="2:27" ht="21" x14ac:dyDescent="0.5">
      <c r="B53" s="19" t="s">
        <v>10</v>
      </c>
      <c r="C53" s="23">
        <v>3</v>
      </c>
      <c r="D53" s="23">
        <v>4</v>
      </c>
      <c r="E53" s="23">
        <v>4</v>
      </c>
      <c r="F53" s="19"/>
      <c r="G53" s="19" t="s">
        <v>10</v>
      </c>
      <c r="H53" s="23">
        <v>2</v>
      </c>
      <c r="I53" s="23">
        <v>2</v>
      </c>
      <c r="J53" s="23">
        <v>2</v>
      </c>
    </row>
    <row r="54" spans="2:27" ht="18" x14ac:dyDescent="0.4">
      <c r="B54" s="19"/>
      <c r="C54" s="20" t="s">
        <v>12</v>
      </c>
      <c r="D54" s="19" t="s">
        <v>7</v>
      </c>
      <c r="E54" s="19"/>
      <c r="F54" s="19"/>
      <c r="G54" s="19"/>
      <c r="H54" s="19" t="s">
        <v>12</v>
      </c>
      <c r="I54" s="19" t="s">
        <v>11</v>
      </c>
      <c r="J54" s="19"/>
    </row>
    <row r="55" spans="2:27" x14ac:dyDescent="0.35">
      <c r="B55" s="24"/>
      <c r="C55" s="24"/>
      <c r="D55" s="24"/>
      <c r="E55" s="24"/>
      <c r="F55" s="24"/>
      <c r="G55" s="24"/>
      <c r="H55" s="24"/>
      <c r="I55" s="24"/>
      <c r="J55" s="24"/>
    </row>
    <row r="56" spans="2:27" ht="18" x14ac:dyDescent="0.4">
      <c r="B56" s="19"/>
      <c r="C56" s="19">
        <v>8</v>
      </c>
      <c r="D56" s="19">
        <v>12</v>
      </c>
      <c r="E56" s="19">
        <v>16</v>
      </c>
      <c r="F56" s="19"/>
      <c r="G56" s="19"/>
      <c r="H56" s="19">
        <v>8</v>
      </c>
      <c r="I56" s="19">
        <v>12</v>
      </c>
      <c r="J56" s="19">
        <v>16</v>
      </c>
    </row>
    <row r="57" spans="2:27" ht="21" x14ac:dyDescent="0.5">
      <c r="B57" s="19" t="s">
        <v>9</v>
      </c>
      <c r="C57" s="23">
        <v>3</v>
      </c>
      <c r="D57" s="23">
        <v>4</v>
      </c>
      <c r="E57" s="23">
        <v>4</v>
      </c>
      <c r="F57" s="19"/>
      <c r="G57" s="19" t="s">
        <v>9</v>
      </c>
      <c r="H57" s="23">
        <v>2</v>
      </c>
      <c r="I57" s="23">
        <v>2</v>
      </c>
      <c r="J57" s="23">
        <v>2</v>
      </c>
    </row>
    <row r="58" spans="2:27" ht="21" x14ac:dyDescent="0.5">
      <c r="B58" s="19" t="s">
        <v>10</v>
      </c>
      <c r="C58" s="23">
        <v>3</v>
      </c>
      <c r="D58" s="23">
        <v>4</v>
      </c>
      <c r="E58" s="23">
        <v>4</v>
      </c>
      <c r="F58" s="19"/>
      <c r="G58" s="19" t="s">
        <v>10</v>
      </c>
      <c r="H58" s="23">
        <v>2</v>
      </c>
      <c r="I58" s="23">
        <v>2</v>
      </c>
      <c r="J58" s="23">
        <v>2</v>
      </c>
    </row>
    <row r="59" spans="2:27" ht="18" x14ac:dyDescent="0.4">
      <c r="B59" s="19"/>
      <c r="C59" s="20" t="s">
        <v>13</v>
      </c>
      <c r="D59" s="19" t="s">
        <v>7</v>
      </c>
      <c r="E59" s="19"/>
      <c r="F59" s="19"/>
      <c r="G59" s="19"/>
      <c r="H59" s="19" t="s">
        <v>13</v>
      </c>
      <c r="I59" s="19" t="s">
        <v>11</v>
      </c>
      <c r="J59" s="19"/>
    </row>
    <row r="60" spans="2:27" x14ac:dyDescent="0.35">
      <c r="B60" s="24"/>
      <c r="C60" s="24"/>
      <c r="D60" s="24"/>
      <c r="E60" s="24"/>
      <c r="F60" s="24"/>
      <c r="G60" s="24"/>
      <c r="H60" s="24"/>
      <c r="I60" s="24"/>
      <c r="J60" s="24"/>
    </row>
    <row r="61" spans="2:27" x14ac:dyDescent="0.35">
      <c r="B61" s="22"/>
      <c r="C61" s="22"/>
      <c r="D61" s="22"/>
      <c r="E61" s="22"/>
      <c r="F61" s="22"/>
      <c r="G61" s="22"/>
      <c r="H61" s="22"/>
      <c r="I61" s="22"/>
      <c r="J61" s="22"/>
    </row>
    <row r="63" spans="2:27" ht="81" customHeight="1" x14ac:dyDescent="0.35"/>
    <row r="64" spans="2:27" ht="38.5" customHeight="1" x14ac:dyDescent="0.35"/>
    <row r="89" spans="64:64" x14ac:dyDescent="0.35">
      <c r="BL89" s="14" t="s">
        <v>7</v>
      </c>
    </row>
  </sheetData>
  <mergeCells count="28">
    <mergeCell ref="AF37:AH37"/>
    <mergeCell ref="AM37:AO37"/>
    <mergeCell ref="AT37:AV37"/>
    <mergeCell ref="BA37:BC37"/>
    <mergeCell ref="AF11:AH11"/>
    <mergeCell ref="AM11:AO11"/>
    <mergeCell ref="AT11:AV11"/>
    <mergeCell ref="BA11:BC11"/>
    <mergeCell ref="AF24:AH24"/>
    <mergeCell ref="AM24:AO24"/>
    <mergeCell ref="AT24:AV24"/>
    <mergeCell ref="BA24:BC24"/>
    <mergeCell ref="D11:F11"/>
    <mergeCell ref="K11:M11"/>
    <mergeCell ref="D24:F24"/>
    <mergeCell ref="K24:M24"/>
    <mergeCell ref="R50:T50"/>
    <mergeCell ref="R11:T11"/>
    <mergeCell ref="Y50:AA50"/>
    <mergeCell ref="D37:F37"/>
    <mergeCell ref="K37:M37"/>
    <mergeCell ref="D50:F50"/>
    <mergeCell ref="K50:M50"/>
    <mergeCell ref="Y11:AA11"/>
    <mergeCell ref="R24:T24"/>
    <mergeCell ref="Y24:AA24"/>
    <mergeCell ref="R37:T37"/>
    <mergeCell ref="Y37:AA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Eduard Tigranyan</cp:lastModifiedBy>
  <dcterms:created xsi:type="dcterms:W3CDTF">2018-02-16T12:38:52Z</dcterms:created>
  <dcterms:modified xsi:type="dcterms:W3CDTF">2024-11-02T11:13:32Z</dcterms:modified>
</cp:coreProperties>
</file>