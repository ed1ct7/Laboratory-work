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D5D42B94-E364-4A53-802C-FCCEE70D45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XLSX" sheetId="3" r:id="rId1"/>
    <sheet name="TX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F8" i="3"/>
  <c r="E8" i="3"/>
  <c r="F7" i="3"/>
  <c r="E7" i="3"/>
  <c r="F6" i="3"/>
  <c r="E6" i="3"/>
  <c r="F5" i="3"/>
  <c r="E5" i="3"/>
  <c r="F4" i="3"/>
  <c r="G8" i="3" l="1"/>
  <c r="H8" i="3" s="1"/>
  <c r="G5" i="3"/>
  <c r="H5" i="3" s="1"/>
  <c r="G6" i="3"/>
  <c r="H6" i="3" s="1"/>
  <c r="G7" i="3"/>
  <c r="H7" i="3" s="1"/>
  <c r="H8" i="1"/>
  <c r="E4" i="1"/>
  <c r="F5" i="1"/>
  <c r="F6" i="1"/>
  <c r="F7" i="1"/>
  <c r="F8" i="1"/>
  <c r="F4" i="1"/>
  <c r="E5" i="1"/>
  <c r="E6" i="1"/>
  <c r="E7" i="1"/>
  <c r="E8" i="1"/>
  <c r="G6" i="1" l="1"/>
  <c r="H6" i="1" s="1"/>
  <c r="G7" i="1"/>
  <c r="H7" i="1" s="1"/>
  <c r="G5" i="1"/>
  <c r="H5" i="1" s="1"/>
  <c r="G8" i="1"/>
</calcChain>
</file>

<file path=xl/sharedStrings.xml><?xml version="1.0" encoding="utf-8"?>
<sst xmlns="http://schemas.openxmlformats.org/spreadsheetml/2006/main" count="42" uniqueCount="26">
  <si>
    <t>Сжатие файлов архиватором WinRAR</t>
  </si>
  <si>
    <t>Исходный размер</t>
  </si>
  <si>
    <t>№</t>
  </si>
  <si>
    <t>Имя_архива</t>
  </si>
  <si>
    <t xml:space="preserve">Сжатие </t>
  </si>
  <si>
    <t>Экономия</t>
  </si>
  <si>
    <t>%</t>
  </si>
  <si>
    <t>Улучшение</t>
  </si>
  <si>
    <t>Скоростной</t>
  </si>
  <si>
    <t>Быстрый</t>
  </si>
  <si>
    <t>Обычный</t>
  </si>
  <si>
    <t>Хороший</t>
  </si>
  <si>
    <t>Максимальный</t>
  </si>
  <si>
    <t>Размер</t>
  </si>
  <si>
    <t>Метод</t>
  </si>
  <si>
    <t>байт</t>
  </si>
  <si>
    <t>TXT_1</t>
  </si>
  <si>
    <t>TXT_2</t>
  </si>
  <si>
    <t>TXT_3</t>
  </si>
  <si>
    <t>TXT_4</t>
  </si>
  <si>
    <t>TXT_5</t>
  </si>
  <si>
    <t>XLSX_1</t>
  </si>
  <si>
    <t>XLSX_2</t>
  </si>
  <si>
    <t>XLSX_3</t>
  </si>
  <si>
    <t>XLSX_4</t>
  </si>
  <si>
    <t>XLSX_5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</si>
</sst>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экономия от</a:t>
            </a:r>
            <a:r>
              <a:rPr lang="ru-RU" baseline="0"/>
              <a:t> уровня сжатия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XLSX!$C$4:$C$8</c:f>
              <c:strCache>
                <c:ptCount val="5"/>
                <c:pt idx="0">
                  <c:v>Скоростной</c:v>
                </c:pt>
                <c:pt idx="1">
                  <c:v>Быстрый</c:v>
                </c:pt>
                <c:pt idx="2">
                  <c:v>Обычный</c:v>
                </c:pt>
                <c:pt idx="3">
                  <c:v>Хороший</c:v>
                </c:pt>
                <c:pt idx="4">
                  <c:v>Максимальный</c:v>
                </c:pt>
              </c:strCache>
            </c:strRef>
          </c:cat>
          <c:val>
            <c:numRef>
              <c:f>XLSX!$F$4:$F$8</c:f>
              <c:numCache>
                <c:formatCode>General</c:formatCode>
                <c:ptCount val="5"/>
                <c:pt idx="0">
                  <c:v>108607</c:v>
                </c:pt>
                <c:pt idx="1">
                  <c:v>133395</c:v>
                </c:pt>
                <c:pt idx="2">
                  <c:v>134522</c:v>
                </c:pt>
                <c:pt idx="3">
                  <c:v>134491</c:v>
                </c:pt>
                <c:pt idx="4">
                  <c:v>134517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8-4A7E-8289-EB99E2AF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791664"/>
        <c:axId val="224794992"/>
      </c:lineChart>
      <c:catAx>
        <c:axId val="2247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94992"/>
        <c:crosses val="autoZero"/>
        <c:auto val="1"/>
        <c:lblAlgn val="ctr"/>
        <c:lblOffset val="100"/>
        <c:noMultiLvlLbl val="0"/>
      </c:catAx>
      <c:valAx>
        <c:axId val="2247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Улучшение посравнению с предыдущим методом сжатия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XLSX!$C$5:$C$8</c:f>
              <c:strCache>
                <c:ptCount val="4"/>
                <c:pt idx="0">
                  <c:v>Быстрый</c:v>
                </c:pt>
                <c:pt idx="1">
                  <c:v>Обычный</c:v>
                </c:pt>
                <c:pt idx="2">
                  <c:v>Хороший</c:v>
                </c:pt>
                <c:pt idx="3">
                  <c:v>Максимальный</c:v>
                </c:pt>
              </c:strCache>
            </c:strRef>
          </c:cat>
          <c:val>
            <c:numRef>
              <c:f>XLSX!$G$5:$G$8</c:f>
              <c:numCache>
                <c:formatCode>General</c:formatCode>
                <c:ptCount val="4"/>
                <c:pt idx="0">
                  <c:v>24788</c:v>
                </c:pt>
                <c:pt idx="1">
                  <c:v>1127</c:v>
                </c:pt>
                <c:pt idx="2">
                  <c:v>-31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D-4419-A3F1-8688832F3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261968"/>
        <c:axId val="232261552"/>
      </c:lineChart>
      <c:catAx>
        <c:axId val="2322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1552"/>
        <c:crosses val="autoZero"/>
        <c:auto val="1"/>
        <c:lblAlgn val="ctr"/>
        <c:lblOffset val="100"/>
        <c:noMultiLvlLbl val="0"/>
      </c:catAx>
      <c:valAx>
        <c:axId val="2322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степени сжатия</a:t>
            </a:r>
            <a:r>
              <a:rPr lang="ru-RU" baseline="0"/>
              <a:t> с уровнем сжатия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XLSX!$E$3</c:f>
              <c:strCache>
                <c:ptCount val="1"/>
                <c:pt idx="0">
                  <c:v>Сжатие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XLSX!$C$4:$C$8</c:f>
              <c:strCache>
                <c:ptCount val="5"/>
                <c:pt idx="0">
                  <c:v>Скоростной</c:v>
                </c:pt>
                <c:pt idx="1">
                  <c:v>Быстрый</c:v>
                </c:pt>
                <c:pt idx="2">
                  <c:v>Обычный</c:v>
                </c:pt>
                <c:pt idx="3">
                  <c:v>Хороший</c:v>
                </c:pt>
                <c:pt idx="4">
                  <c:v>Максимальный</c:v>
                </c:pt>
              </c:strCache>
            </c:strRef>
          </c:cat>
          <c:val>
            <c:numRef>
              <c:f>XLSX!$E$4:$E$8</c:f>
              <c:numCache>
                <c:formatCode>0.0000%</c:formatCode>
                <c:ptCount val="5"/>
                <c:pt idx="0">
                  <c:v>0.86321622659806929</c:v>
                </c:pt>
                <c:pt idx="1">
                  <c:v>0.83199727961410819</c:v>
                </c:pt>
                <c:pt idx="2">
                  <c:v>0.83057789308631558</c:v>
                </c:pt>
                <c:pt idx="3">
                  <c:v>0.83061693566161421</c:v>
                </c:pt>
                <c:pt idx="4">
                  <c:v>0.83058419027587993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E-4F57-ABD0-712DE925C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965280"/>
        <c:axId val="1704966112"/>
      </c:lineChart>
      <c:catAx>
        <c:axId val="17049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66112"/>
        <c:crosses val="autoZero"/>
        <c:auto val="1"/>
        <c:lblAlgn val="ctr"/>
        <c:lblOffset val="100"/>
        <c:noMultiLvlLbl val="0"/>
      </c:catAx>
      <c:valAx>
        <c:axId val="170496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Экономия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TXT!$C$4:$C$8</c:f>
              <c:strCache>
                <c:ptCount val="5"/>
                <c:pt idx="0">
                  <c:v>Скоростной</c:v>
                </c:pt>
                <c:pt idx="1">
                  <c:v>Быстрый</c:v>
                </c:pt>
                <c:pt idx="2">
                  <c:v>Обычный</c:v>
                </c:pt>
                <c:pt idx="3">
                  <c:v>Хороший</c:v>
                </c:pt>
                <c:pt idx="4">
                  <c:v>Максимальный</c:v>
                </c:pt>
              </c:strCache>
            </c:strRef>
          </c:cat>
          <c:val>
            <c:numRef>
              <c:f>TXT!$F$4:$F$8</c:f>
              <c:numCache>
                <c:formatCode>General</c:formatCode>
                <c:ptCount val="5"/>
                <c:pt idx="0">
                  <c:v>7695959</c:v>
                </c:pt>
                <c:pt idx="1">
                  <c:v>7811819</c:v>
                </c:pt>
                <c:pt idx="2">
                  <c:v>7811891</c:v>
                </c:pt>
                <c:pt idx="3">
                  <c:v>7810004</c:v>
                </c:pt>
                <c:pt idx="4">
                  <c:v>7814911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2-4524-BBA5-9A15735C7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791664"/>
        <c:axId val="224794992"/>
      </c:lineChart>
      <c:catAx>
        <c:axId val="2247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94992"/>
        <c:crosses val="autoZero"/>
        <c:auto val="1"/>
        <c:lblAlgn val="ctr"/>
        <c:lblOffset val="100"/>
        <c:noMultiLvlLbl val="0"/>
      </c:catAx>
      <c:valAx>
        <c:axId val="2247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Улучшение посравнению с предыдущим методом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TXT!$C$5:$C$8</c:f>
              <c:strCache>
                <c:ptCount val="4"/>
                <c:pt idx="0">
                  <c:v>Быстрый</c:v>
                </c:pt>
                <c:pt idx="1">
                  <c:v>Обычный</c:v>
                </c:pt>
                <c:pt idx="2">
                  <c:v>Хороший</c:v>
                </c:pt>
                <c:pt idx="3">
                  <c:v>Максимальный</c:v>
                </c:pt>
              </c:strCache>
            </c:strRef>
          </c:cat>
          <c:val>
            <c:numRef>
              <c:f>TXT!$G$5:$G$8</c:f>
              <c:numCache>
                <c:formatCode>General</c:formatCode>
                <c:ptCount val="4"/>
                <c:pt idx="0">
                  <c:v>115860</c:v>
                </c:pt>
                <c:pt idx="1">
                  <c:v>72</c:v>
                </c:pt>
                <c:pt idx="2">
                  <c:v>-1887</c:v>
                </c:pt>
                <c:pt idx="3">
                  <c:v>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5-46AD-A0C3-D2CD7A6F3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261968"/>
        <c:axId val="232261552"/>
      </c:lineChart>
      <c:catAx>
        <c:axId val="2322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1552"/>
        <c:crosses val="autoZero"/>
        <c:auto val="1"/>
        <c:lblAlgn val="ctr"/>
        <c:lblOffset val="100"/>
        <c:noMultiLvlLbl val="0"/>
      </c:catAx>
      <c:valAx>
        <c:axId val="2322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Степень</a:t>
            </a:r>
            <a:r>
              <a:rPr lang="ru-RU" baseline="0"/>
              <a:t> сжатия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TXT!$E$3</c:f>
              <c:strCache>
                <c:ptCount val="1"/>
                <c:pt idx="0">
                  <c:v>Сжатие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TXT!$C$4:$C$8</c:f>
              <c:strCache>
                <c:ptCount val="5"/>
                <c:pt idx="0">
                  <c:v>Скоростной</c:v>
                </c:pt>
                <c:pt idx="1">
                  <c:v>Быстрый</c:v>
                </c:pt>
                <c:pt idx="2">
                  <c:v>Обычный</c:v>
                </c:pt>
                <c:pt idx="3">
                  <c:v>Хороший</c:v>
                </c:pt>
                <c:pt idx="4">
                  <c:v>Максимальный</c:v>
                </c:pt>
              </c:strCache>
            </c:strRef>
          </c:cat>
          <c:val>
            <c:numRef>
              <c:f>TXT!$E$4:$E$8</c:f>
              <c:numCache>
                <c:formatCode>0.0000%</c:formatCode>
                <c:ptCount val="5"/>
                <c:pt idx="0">
                  <c:v>0.46816542631163294</c:v>
                </c:pt>
                <c:pt idx="1">
                  <c:v>0.46015884081559089</c:v>
                </c:pt>
                <c:pt idx="2">
                  <c:v>0.46015386520575391</c:v>
                </c:pt>
                <c:pt idx="3">
                  <c:v>0.46028426764689867</c:v>
                </c:pt>
                <c:pt idx="4">
                  <c:v>0.45994516601536856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35-4DB1-948D-03871C84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965280"/>
        <c:axId val="1704966112"/>
      </c:lineChart>
      <c:catAx>
        <c:axId val="17049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66112"/>
        <c:crosses val="autoZero"/>
        <c:auto val="1"/>
        <c:lblAlgn val="ctr"/>
        <c:lblOffset val="100"/>
        <c:noMultiLvlLbl val="0"/>
      </c:catAx>
      <c:valAx>
        <c:axId val="170496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8</xdr:row>
      <xdr:rowOff>138112</xdr:rowOff>
    </xdr:from>
    <xdr:to>
      <xdr:col>7</xdr:col>
      <xdr:colOff>604837</xdr:colOff>
      <xdr:row>23</xdr:row>
      <xdr:rowOff>23812</xdr:rowOff>
    </xdr:to>
    <xdr:graphicFrame macro="">
      <xdr:nvGraphicFramePr>
        <xdr:cNvPr id="2" name="Диаграмма 2">
          <a:extLst>
            <a:ext uri="{FF2B5EF4-FFF2-40B4-BE49-F238E27FC236}">
              <a16:creationId xmlns:a16="http://schemas.microsoft.com/office/drawing/2014/main" id="{E3F60B14-5B89-4EF9-B2A3-162E00B81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1284287</xdr:colOff>
      <xdr:row>8</xdr:row>
      <xdr:rowOff>138112</xdr:rowOff>
    </xdr:from>
    <xdr:to>
      <xdr:col>4</xdr:col>
      <xdr:colOff>93662</xdr:colOff>
      <xdr:row>23</xdr:row>
      <xdr:rowOff>30162</xdr:rowOff>
    </xdr:to>
    <xdr:graphicFrame macro="">
      <xdr:nvGraphicFramePr>
        <xdr:cNvPr id="3" name="Диаграмма 4">
          <a:extLst>
            <a:ext uri="{FF2B5EF4-FFF2-40B4-BE49-F238E27FC236}">
              <a16:creationId xmlns:a16="http://schemas.microsoft.com/office/drawing/2014/main" id="{DE8CEC45-3B83-4FED-A1B3-55E3B6C41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1311275</xdr:colOff>
      <xdr:row>23</xdr:row>
      <xdr:rowOff>69850</xdr:rowOff>
    </xdr:from>
    <xdr:to>
      <xdr:col>3</xdr:col>
      <xdr:colOff>1482725</xdr:colOff>
      <xdr:row>38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FE7AC8-A0C8-4945-A629-7713B5DEA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8</xdr:row>
      <xdr:rowOff>138112</xdr:rowOff>
    </xdr:from>
    <xdr:to>
      <xdr:col>7</xdr:col>
      <xdr:colOff>604837</xdr:colOff>
      <xdr:row>23</xdr:row>
      <xdr:rowOff>23812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0B39F7-59B5-4FE0-B7A3-EC5DB20CA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1284287</xdr:colOff>
      <xdr:row>8</xdr:row>
      <xdr:rowOff>138112</xdr:rowOff>
    </xdr:from>
    <xdr:to>
      <xdr:col>4</xdr:col>
      <xdr:colOff>93662</xdr:colOff>
      <xdr:row>23</xdr:row>
      <xdr:rowOff>30162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F722049-A115-4787-8EC4-E33D38D9E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1311275</xdr:colOff>
      <xdr:row>23</xdr:row>
      <xdr:rowOff>69850</xdr:rowOff>
    </xdr:from>
    <xdr:to>
      <xdr:col>3</xdr:col>
      <xdr:colOff>1482725</xdr:colOff>
      <xdr:row>38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5D18F5-01A6-4F20-89B4-84EE6D467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AA04-2740-404E-97C1-A38B37B5BB89}">
  <dimension ref="A1:H8"/>
  <sheetViews>
    <sheetView tabSelected="1" topLeftCell="A2" workbookViewId="0">
      <selection activeCell="I4" sqref="I4"/>
    </sheetView>
  </sheetViews>
  <sheetFormatPr defaultRowHeight="14.5" x14ac:dyDescent="0.35"/>
  <cols>
    <col min="1" max="3" width="21" customWidth="1"/>
    <col min="4" max="4" width="23.453125" customWidth="1"/>
    <col min="5" max="7" width="21" customWidth="1"/>
    <col min="8" max="8" width="27" customWidth="1"/>
  </cols>
  <sheetData>
    <row r="1" spans="1:8" ht="18" x14ac:dyDescent="0.4">
      <c r="A1" s="9" t="s">
        <v>0</v>
      </c>
      <c r="B1" s="9"/>
      <c r="C1" s="9"/>
      <c r="D1" s="9"/>
      <c r="E1" s="9"/>
      <c r="F1" s="9"/>
      <c r="G1" s="9"/>
    </row>
    <row r="2" spans="1:8" ht="18" x14ac:dyDescent="0.4">
      <c r="A2" s="1"/>
      <c r="B2" s="1"/>
      <c r="C2" s="1" t="s">
        <v>1</v>
      </c>
      <c r="D2" s="3">
        <v>794005</v>
      </c>
      <c r="E2" s="1" t="s">
        <v>15</v>
      </c>
      <c r="F2" s="1"/>
      <c r="G2" s="1"/>
    </row>
    <row r="3" spans="1:8" ht="18" x14ac:dyDescent="0.4">
      <c r="A3" s="6" t="s">
        <v>2</v>
      </c>
      <c r="B3" s="1" t="s">
        <v>3</v>
      </c>
      <c r="C3" s="1" t="s">
        <v>14</v>
      </c>
      <c r="D3" s="1" t="s">
        <v>13</v>
      </c>
      <c r="E3" s="1" t="s">
        <v>4</v>
      </c>
      <c r="F3" s="1" t="s">
        <v>5</v>
      </c>
      <c r="G3" s="1"/>
      <c r="H3" s="1"/>
    </row>
    <row r="4" spans="1:8" ht="18" x14ac:dyDescent="0.4">
      <c r="A4" s="1">
        <v>1</v>
      </c>
      <c r="B4" s="1" t="s">
        <v>21</v>
      </c>
      <c r="C4" s="1" t="s">
        <v>8</v>
      </c>
      <c r="D4" s="3">
        <v>685398</v>
      </c>
      <c r="E4" s="8">
        <f>D4/D$2</f>
        <v>0.86321622659806929</v>
      </c>
      <c r="F4" s="4">
        <f>$D$2-D4</f>
        <v>108607</v>
      </c>
      <c r="G4" s="4" t="s">
        <v>7</v>
      </c>
      <c r="H4" s="3" t="s">
        <v>6</v>
      </c>
    </row>
    <row r="5" spans="1:8" ht="18" x14ac:dyDescent="0.4">
      <c r="A5" s="1">
        <v>2</v>
      </c>
      <c r="B5" s="1" t="s">
        <v>22</v>
      </c>
      <c r="C5" s="1" t="s">
        <v>9</v>
      </c>
      <c r="D5" s="3">
        <v>660610</v>
      </c>
      <c r="E5" s="8">
        <f t="shared" ref="E5:E8" si="0">D5/D$2</f>
        <v>0.83199727961410819</v>
      </c>
      <c r="F5" s="4">
        <f t="shared" ref="F5:F8" si="1">$D$2-D5</f>
        <v>133395</v>
      </c>
      <c r="G5" s="4">
        <f>F5-F4</f>
        <v>24788</v>
      </c>
      <c r="H5" s="7">
        <f>G5/$D$2</f>
        <v>3.1218946983961059E-2</v>
      </c>
    </row>
    <row r="6" spans="1:8" ht="18" x14ac:dyDescent="0.4">
      <c r="A6" s="1">
        <v>3</v>
      </c>
      <c r="B6" s="1" t="s">
        <v>23</v>
      </c>
      <c r="C6" s="1" t="s">
        <v>10</v>
      </c>
      <c r="D6" s="5">
        <v>659483</v>
      </c>
      <c r="E6" s="8">
        <f t="shared" si="0"/>
        <v>0.83057789308631558</v>
      </c>
      <c r="F6" s="4">
        <f t="shared" si="1"/>
        <v>134522</v>
      </c>
      <c r="G6" s="4">
        <f t="shared" ref="G6:G8" si="2">F6-F5</f>
        <v>1127</v>
      </c>
      <c r="H6" s="7">
        <f t="shared" ref="H6:H7" si="3">G6/$D$2</f>
        <v>1.4193865277926461E-3</v>
      </c>
    </row>
    <row r="7" spans="1:8" ht="18" x14ac:dyDescent="0.4">
      <c r="A7" s="1">
        <v>4</v>
      </c>
      <c r="B7" s="1" t="s">
        <v>24</v>
      </c>
      <c r="C7" s="1" t="s">
        <v>11</v>
      </c>
      <c r="D7" s="5">
        <v>659514</v>
      </c>
      <c r="E7" s="8">
        <f t="shared" si="0"/>
        <v>0.83061693566161421</v>
      </c>
      <c r="F7" s="4">
        <f t="shared" si="1"/>
        <v>134491</v>
      </c>
      <c r="G7" s="4">
        <f t="shared" si="2"/>
        <v>-31</v>
      </c>
      <c r="H7" s="7">
        <f t="shared" si="3"/>
        <v>-3.9042575298644216E-5</v>
      </c>
    </row>
    <row r="8" spans="1:8" ht="18" x14ac:dyDescent="0.4">
      <c r="A8" s="1">
        <v>5</v>
      </c>
      <c r="B8" s="1" t="s">
        <v>25</v>
      </c>
      <c r="C8" s="1" t="s">
        <v>12</v>
      </c>
      <c r="D8" s="3">
        <v>659488</v>
      </c>
      <c r="E8" s="8">
        <f t="shared" si="0"/>
        <v>0.83058419027587993</v>
      </c>
      <c r="F8" s="4">
        <f t="shared" si="1"/>
        <v>134517</v>
      </c>
      <c r="G8" s="4">
        <f t="shared" si="2"/>
        <v>26</v>
      </c>
      <c r="H8" s="7">
        <f>G8/$D$2</f>
        <v>3.2745385734346759E-5</v>
      </c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G7" sqref="G7"/>
    </sheetView>
  </sheetViews>
  <sheetFormatPr defaultRowHeight="14.5" x14ac:dyDescent="0.35"/>
  <cols>
    <col min="1" max="3" width="21" customWidth="1"/>
    <col min="4" max="4" width="23.453125" customWidth="1"/>
    <col min="5" max="7" width="21" customWidth="1"/>
    <col min="8" max="8" width="27" customWidth="1"/>
  </cols>
  <sheetData>
    <row r="1" spans="1:8" ht="18" x14ac:dyDescent="0.4">
      <c r="A1" s="9" t="s">
        <v>0</v>
      </c>
      <c r="B1" s="9"/>
      <c r="C1" s="9"/>
      <c r="D1" s="9"/>
      <c r="E1" s="9"/>
      <c r="F1" s="9"/>
      <c r="G1" s="9"/>
    </row>
    <row r="2" spans="1:8" ht="18" x14ac:dyDescent="0.4">
      <c r="A2" s="1"/>
      <c r="B2" s="1"/>
      <c r="C2" s="1" t="s">
        <v>1</v>
      </c>
      <c r="D2" s="2">
        <v>14470588</v>
      </c>
      <c r="E2" s="1" t="s">
        <v>15</v>
      </c>
      <c r="F2" s="1"/>
      <c r="G2" s="1"/>
    </row>
    <row r="3" spans="1:8" ht="18" x14ac:dyDescent="0.4">
      <c r="A3" s="6" t="s">
        <v>2</v>
      </c>
      <c r="B3" s="1" t="s">
        <v>3</v>
      </c>
      <c r="C3" s="1" t="s">
        <v>14</v>
      </c>
      <c r="D3" s="1" t="s">
        <v>13</v>
      </c>
      <c r="E3" s="1" t="s">
        <v>4</v>
      </c>
      <c r="F3" s="1" t="s">
        <v>5</v>
      </c>
      <c r="G3" s="1"/>
      <c r="H3" s="1"/>
    </row>
    <row r="4" spans="1:8" ht="18" x14ac:dyDescent="0.4">
      <c r="A4" s="1">
        <v>1</v>
      </c>
      <c r="B4" s="1" t="s">
        <v>16</v>
      </c>
      <c r="C4" s="1" t="s">
        <v>8</v>
      </c>
      <c r="D4" s="2">
        <v>6774629</v>
      </c>
      <c r="E4" s="8">
        <f>D4/D$2</f>
        <v>0.46816542631163294</v>
      </c>
      <c r="F4" s="4">
        <f>$D$2-D4</f>
        <v>7695959</v>
      </c>
      <c r="G4" s="4" t="s">
        <v>7</v>
      </c>
      <c r="H4" s="3" t="s">
        <v>6</v>
      </c>
    </row>
    <row r="5" spans="1:8" ht="18" x14ac:dyDescent="0.4">
      <c r="A5" s="1">
        <v>2</v>
      </c>
      <c r="B5" s="1" t="s">
        <v>17</v>
      </c>
      <c r="C5" s="1" t="s">
        <v>9</v>
      </c>
      <c r="D5" s="3">
        <v>6658769</v>
      </c>
      <c r="E5" s="8">
        <f t="shared" ref="E5:E8" si="0">D5/D$2</f>
        <v>0.46015884081559089</v>
      </c>
      <c r="F5" s="4">
        <f t="shared" ref="F5:F8" si="1">$D$2-D5</f>
        <v>7811819</v>
      </c>
      <c r="G5" s="4">
        <f>F5-F4</f>
        <v>115860</v>
      </c>
      <c r="H5" s="7">
        <f>G5/$D$2</f>
        <v>8.0065854960420409E-3</v>
      </c>
    </row>
    <row r="6" spans="1:8" ht="18" x14ac:dyDescent="0.4">
      <c r="A6" s="1">
        <v>3</v>
      </c>
      <c r="B6" s="1" t="s">
        <v>18</v>
      </c>
      <c r="C6" s="1" t="s">
        <v>10</v>
      </c>
      <c r="D6" s="3">
        <v>6658697</v>
      </c>
      <c r="E6" s="8">
        <f t="shared" si="0"/>
        <v>0.46015386520575391</v>
      </c>
      <c r="F6" s="4">
        <f t="shared" si="1"/>
        <v>7811891</v>
      </c>
      <c r="G6" s="4">
        <f t="shared" ref="G6:G8" si="2">F6-F5</f>
        <v>72</v>
      </c>
      <c r="H6" s="7">
        <f t="shared" ref="H6:H7" si="3">G6/$D$2</f>
        <v>4.9756098370017858E-6</v>
      </c>
    </row>
    <row r="7" spans="1:8" ht="18" x14ac:dyDescent="0.4">
      <c r="A7" s="1">
        <v>4</v>
      </c>
      <c r="B7" s="1" t="s">
        <v>19</v>
      </c>
      <c r="C7" s="1" t="s">
        <v>11</v>
      </c>
      <c r="D7" s="3">
        <v>6660584</v>
      </c>
      <c r="E7" s="8">
        <f t="shared" si="0"/>
        <v>0.46028426764689867</v>
      </c>
      <c r="F7" s="4">
        <f t="shared" si="1"/>
        <v>7810004</v>
      </c>
      <c r="G7" s="4">
        <f t="shared" si="2"/>
        <v>-1887</v>
      </c>
      <c r="H7" s="7">
        <f t="shared" si="3"/>
        <v>-1.3040244114475514E-4</v>
      </c>
    </row>
    <row r="8" spans="1:8" ht="18" x14ac:dyDescent="0.4">
      <c r="A8" s="1">
        <v>5</v>
      </c>
      <c r="B8" s="1" t="s">
        <v>20</v>
      </c>
      <c r="C8" s="1" t="s">
        <v>12</v>
      </c>
      <c r="D8" s="3">
        <v>6655677</v>
      </c>
      <c r="E8" s="8">
        <f t="shared" si="0"/>
        <v>0.45994516601536856</v>
      </c>
      <c r="F8" s="4">
        <f t="shared" si="1"/>
        <v>7814911</v>
      </c>
      <c r="G8" s="4">
        <f t="shared" si="2"/>
        <v>4907</v>
      </c>
      <c r="H8" s="7">
        <f>G8/$D$2</f>
        <v>3.3910163153010785E-4</v>
      </c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XLSX</vt:lpstr>
      <vt:lpstr>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2025-03-25T10:38:46Z</dcterms:modified>
</cp:coreProperties>
</file>