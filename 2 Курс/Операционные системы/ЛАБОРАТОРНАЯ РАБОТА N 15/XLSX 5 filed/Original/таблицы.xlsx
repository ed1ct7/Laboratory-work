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ексель\"/>
    </mc:Choice>
  </mc:AlternateContent>
  <bookViews>
    <workbookView xWindow="0" yWindow="0" windowWidth="15825" windowHeight="9465"/>
  </bookViews>
  <sheets>
    <sheet name="заказы" sheetId="1" r:id="rId1"/>
    <sheet name="товары" sheetId="2" r:id="rId2"/>
    <sheet name="Продажи" sheetId="3" r:id="rId3"/>
  </sheets>
  <definedNames>
    <definedName name="_xlnm._FilterDatabase" localSheetId="1" hidden="1">товары!$A$1:$F$53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3" l="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4" i="2"/>
  <c r="F5" i="2"/>
  <c r="F6" i="2"/>
  <c r="F7" i="2"/>
  <c r="F8" i="2"/>
  <c r="F9" i="2"/>
  <c r="F10" i="2"/>
  <c r="F3" i="2"/>
</calcChain>
</file>

<file path=xl/sharedStrings.xml><?xml version="1.0" encoding="utf-8"?>
<sst xmlns="http://schemas.openxmlformats.org/spreadsheetml/2006/main" count="332" uniqueCount="93">
  <si>
    <t>Заказ</t>
  </si>
  <si>
    <t>Название получателя</t>
  </si>
  <si>
    <t>Город получателя</t>
  </si>
  <si>
    <t>Страна получателя</t>
  </si>
  <si>
    <t>Дата заказа</t>
  </si>
  <si>
    <t>Дата исполнения</t>
  </si>
  <si>
    <t>Масса заказа</t>
  </si>
  <si>
    <t>Стоимость доставки</t>
  </si>
  <si>
    <t>Кафе "Родничок"</t>
  </si>
  <si>
    <t>Брянск</t>
  </si>
  <si>
    <t>Россия</t>
  </si>
  <si>
    <t>Ресторан "Диана"</t>
  </si>
  <si>
    <t>Могилев</t>
  </si>
  <si>
    <t>Беларусь</t>
  </si>
  <si>
    <t>ТОО "Подарок"</t>
  </si>
  <si>
    <t>Орел</t>
  </si>
  <si>
    <t>ТОО "Карпаты"</t>
  </si>
  <si>
    <t>Яремча</t>
  </si>
  <si>
    <t>Украина</t>
  </si>
  <si>
    <t>Кафе "Синий закат"</t>
  </si>
  <si>
    <t>Казань</t>
  </si>
  <si>
    <t>Универмаг "Гомель"</t>
  </si>
  <si>
    <t>Гомель</t>
  </si>
  <si>
    <t>Гастроном "Варшава"</t>
  </si>
  <si>
    <t>Москва</t>
  </si>
  <si>
    <t>ТОО "Новость"</t>
  </si>
  <si>
    <t>Витебск</t>
  </si>
  <si>
    <t>АО "Баранки"</t>
  </si>
  <si>
    <t>Гродно</t>
  </si>
  <si>
    <t>Супермаркет "Речицкий"</t>
  </si>
  <si>
    <t>Универмаг "Кавказский"</t>
  </si>
  <si>
    <t>Киев</t>
  </si>
  <si>
    <t>Кафе "Победа"</t>
  </si>
  <si>
    <t>Ресторан "Приморский"</t>
  </si>
  <si>
    <t>Одесса</t>
  </si>
  <si>
    <t>Ресторан "Пекин"</t>
  </si>
  <si>
    <t>Екатеринбург</t>
  </si>
  <si>
    <t>АО "Ленточка"</t>
  </si>
  <si>
    <t>Челябинск</t>
  </si>
  <si>
    <t>Бар гостиницы "Турист"</t>
  </si>
  <si>
    <t>Универмаг "Российский"</t>
  </si>
  <si>
    <t>Ресторан "Бангкок"</t>
  </si>
  <si>
    <t>ТОО "Прохлада"</t>
  </si>
  <si>
    <t>Пиццерия "Италия"</t>
  </si>
  <si>
    <t>Кафе "Ураган"</t>
  </si>
  <si>
    <t>Бар гостиницы "Россия"</t>
  </si>
  <si>
    <t>Ресторан "Природа"</t>
  </si>
  <si>
    <t>Ресторан "Украина"</t>
  </si>
  <si>
    <t>Универмаг "Слава"</t>
  </si>
  <si>
    <t>Минск</t>
  </si>
  <si>
    <t>Фирма "Аркада"</t>
  </si>
  <si>
    <t>АО "Кленовый лист"</t>
  </si>
  <si>
    <t>Пиццерия "Славяне"</t>
  </si>
  <si>
    <t>Чернигов</t>
  </si>
  <si>
    <t>Фирма "Браво"</t>
  </si>
  <si>
    <t>Магазин "Русский лес"</t>
  </si>
  <si>
    <t>Столовая "Серпантин"</t>
  </si>
  <si>
    <t>Фирма "Златоуст"</t>
  </si>
  <si>
    <t>Пиццерия "Неаполь"</t>
  </si>
  <si>
    <t>Владимир</t>
  </si>
  <si>
    <t>ТОО "Забота"</t>
  </si>
  <si>
    <t>Бар "Три ступени"</t>
  </si>
  <si>
    <t>Наименование товара</t>
  </si>
  <si>
    <t>Количество упаковок</t>
  </si>
  <si>
    <t>Цена за</t>
  </si>
  <si>
    <t>упаковку</t>
  </si>
  <si>
    <t>Стоимость заказа</t>
  </si>
  <si>
    <t>Орех грецкий</t>
  </si>
  <si>
    <t>Орех миндальный</t>
  </si>
  <si>
    <t>Набор специй № 1</t>
  </si>
  <si>
    <t>Набор специй № 2</t>
  </si>
  <si>
    <t>Набор специй № 3</t>
  </si>
  <si>
    <t>Фундук</t>
  </si>
  <si>
    <t>Орех бразильский</t>
  </si>
  <si>
    <t>Кешью</t>
  </si>
  <si>
    <t>№ п.п.</t>
  </si>
  <si>
    <t>Дата поступления</t>
  </si>
  <si>
    <t>№ накладной</t>
  </si>
  <si>
    <t>Наименование</t>
  </si>
  <si>
    <t>Фирма</t>
  </si>
  <si>
    <t>Годен до</t>
  </si>
  <si>
    <t>Кол-во</t>
  </si>
  <si>
    <t>Цена</t>
  </si>
  <si>
    <t>Стои- мость</t>
  </si>
  <si>
    <t>Яблоки</t>
  </si>
  <si>
    <t>Скиф</t>
  </si>
  <si>
    <t>Бананы</t>
  </si>
  <si>
    <t>Евразия+</t>
  </si>
  <si>
    <t>Апельсины</t>
  </si>
  <si>
    <t>Мангнолия</t>
  </si>
  <si>
    <t>Мандарины</t>
  </si>
  <si>
    <t>Лимоны</t>
  </si>
  <si>
    <t>сегодня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</si>
</sst>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6"/>
      <color rgb="FFFFFFFF"/>
      <name val="Calibri"/>
      <family val="2"/>
      <charset val="204"/>
      <scheme val="minor"/>
    </font>
    <font>
      <b/>
      <i/>
      <sz val="14"/>
      <color rgb="FFFFFFFF"/>
      <name val="Arial"/>
      <family val="2"/>
      <charset val="204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CCCC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8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8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2"/>
    </xf>
    <xf numFmtId="0" fontId="1" fillId="3" borderId="3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15" fontId="1" fillId="3" borderId="6" xfId="0" applyNumberFormat="1" applyFont="1" applyFill="1" applyBorder="1" applyAlignment="1">
      <alignment horizontal="left" vertical="center" wrapText="1" indent="1"/>
    </xf>
    <xf numFmtId="15" fontId="1" fillId="3" borderId="6" xfId="0" applyNumberFormat="1" applyFont="1" applyFill="1" applyBorder="1" applyAlignment="1">
      <alignment horizontal="left" vertical="center" wrapText="1" indent="2"/>
    </xf>
    <xf numFmtId="0" fontId="1" fillId="3" borderId="6" xfId="0" applyFont="1" applyFill="1" applyBorder="1" applyAlignment="1">
      <alignment horizontal="left" vertical="center" wrapText="1" indent="3"/>
    </xf>
    <xf numFmtId="0" fontId="1" fillId="3" borderId="6" xfId="0" applyFont="1" applyFill="1" applyBorder="1" applyAlignment="1">
      <alignment horizontal="left" vertical="center" wrapText="1" indent="4"/>
    </xf>
    <xf numFmtId="0" fontId="1" fillId="3" borderId="6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left" vertical="center" wrapText="1" indent="2"/>
    </xf>
    <xf numFmtId="15" fontId="1" fillId="3" borderId="6" xfId="0" applyNumberFormat="1" applyFont="1" applyFill="1" applyBorder="1" applyAlignment="1">
      <alignment horizontal="left" vertical="center" wrapText="1" indent="3"/>
    </xf>
    <xf numFmtId="14" fontId="1" fillId="3" borderId="6" xfId="0" applyNumberFormat="1" applyFont="1" applyFill="1" applyBorder="1" applyAlignment="1">
      <alignment horizontal="left" vertical="center" wrapText="1" indent="1"/>
    </xf>
    <xf numFmtId="14" fontId="1" fillId="3" borderId="6" xfId="0" applyNumberFormat="1" applyFont="1" applyFill="1" applyBorder="1" applyAlignment="1">
      <alignment horizontal="left" vertical="center" wrapText="1" indent="2"/>
    </xf>
    <xf numFmtId="14" fontId="1" fillId="3" borderId="6" xfId="0" applyNumberFormat="1" applyFont="1" applyFill="1" applyBorder="1" applyAlignment="1">
      <alignment horizontal="left" vertical="center" wrapText="1" indent="3"/>
    </xf>
    <xf numFmtId="0" fontId="1" fillId="3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15" fontId="1" fillId="3" borderId="4" xfId="0" applyNumberFormat="1" applyFont="1" applyFill="1" applyBorder="1" applyAlignment="1">
      <alignment horizontal="left" vertical="center" wrapText="1" indent="1"/>
    </xf>
    <xf numFmtId="15" fontId="1" fillId="3" borderId="4" xfId="0" applyNumberFormat="1" applyFont="1" applyFill="1" applyBorder="1" applyAlignment="1">
      <alignment horizontal="left" vertical="center" wrapText="1" indent="2"/>
    </xf>
    <xf numFmtId="0" fontId="1" fillId="3" borderId="4" xfId="0" applyFont="1" applyFill="1" applyBorder="1" applyAlignment="1">
      <alignment horizontal="left" vertical="center" wrapText="1" indent="3"/>
    </xf>
    <xf numFmtId="0" fontId="1" fillId="3" borderId="4" xfId="0" applyFont="1" applyFill="1" applyBorder="1" applyAlignment="1">
      <alignment horizontal="left" vertical="center" wrapText="1" indent="4"/>
    </xf>
    <xf numFmtId="0" fontId="3" fillId="2" borderId="5" xfId="0" applyFont="1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left" vertical="center" wrapText="1" indent="2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left" vertical="center" wrapText="1" indent="6"/>
    </xf>
    <xf numFmtId="0" fontId="4" fillId="3" borderId="6" xfId="0" applyFont="1" applyFill="1" applyBorder="1" applyAlignment="1">
      <alignment horizontal="left" vertical="center" wrapText="1" indent="7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 wrapText="1" indent="6"/>
    </xf>
    <xf numFmtId="0" fontId="6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vertical="center" wrapText="1" indent="4"/>
    </xf>
    <xf numFmtId="0" fontId="5" fillId="0" borderId="6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center" vertical="center" wrapText="1"/>
    </xf>
    <xf numFmtId="14" fontId="0" fillId="0" borderId="0" xfId="0" applyNumberFormat="1"/>
    <xf numFmtId="14" fontId="7" fillId="0" borderId="6" xfId="0" applyNumberFormat="1" applyFont="1" applyBorder="1" applyAlignment="1">
      <alignment horizontal="left" vertical="center" wrapText="1" indent="2"/>
    </xf>
    <xf numFmtId="0" fontId="7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 indent="2"/>
    </xf>
    <xf numFmtId="0" fontId="7" fillId="0" borderId="6" xfId="0" applyFont="1" applyBorder="1" applyAlignment="1">
      <alignment horizontal="left" vertical="center" wrapText="1" indent="3"/>
    </xf>
    <xf numFmtId="0" fontId="7" fillId="0" borderId="6" xfId="0" applyFont="1" applyBorder="1" applyAlignment="1">
      <alignment horizontal="left" vertical="center" wrapText="1" indent="4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2"/>
    </xf>
    <xf numFmtId="0" fontId="2" fillId="2" borderId="3" xfId="0" applyFont="1" applyFill="1" applyBorder="1" applyAlignment="1">
      <alignment horizontal="left" vertical="center" wrapText="1" indent="2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4"/>
    </xf>
    <xf numFmtId="0" fontId="3" fillId="2" borderId="3" xfId="0" applyFont="1" applyFill="1" applyBorder="1" applyAlignment="1">
      <alignment horizontal="left" vertical="center" wrapText="1" indent="4"/>
    </xf>
    <xf numFmtId="0" fontId="3" fillId="2" borderId="2" xfId="0" applyFont="1" applyFill="1" applyBorder="1" applyAlignment="1">
      <alignment horizontal="left" vertical="center" wrapText="1" indent="6"/>
    </xf>
    <xf numFmtId="0" fontId="3" fillId="2" borderId="8" xfId="0" applyFont="1" applyFill="1" applyBorder="1" applyAlignment="1">
      <alignment horizontal="left" vertical="center" wrapText="1" indent="6"/>
    </xf>
    <xf numFmtId="0" fontId="3" fillId="2" borderId="2" xfId="0" applyFont="1" applyFill="1" applyBorder="1" applyAlignment="1">
      <alignment horizontal="left" vertical="center" wrapText="1" indent="2"/>
    </xf>
    <xf numFmtId="0" fontId="3" fillId="2" borderId="8" xfId="0" applyFont="1" applyFill="1" applyBorder="1" applyAlignment="1">
      <alignment horizontal="left" vertical="center" wrapText="1" indent="2"/>
    </xf>
    <xf numFmtId="0" fontId="3" fillId="2" borderId="8" xfId="0" applyFont="1" applyFill="1" applyBorder="1" applyAlignment="1">
      <alignment horizontal="left" vertical="center" wrapText="1" indent="4"/>
    </xf>
    <xf numFmtId="0" fontId="5" fillId="0" borderId="2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16" zoomScale="80" zoomScaleNormal="80" workbookViewId="0">
      <selection activeCell="D67" sqref="D67"/>
    </sheetView>
  </sheetViews>
  <sheetFormatPr defaultRowHeight="15" x14ac:dyDescent="0.25"/>
  <cols>
    <col min="1" max="1" width="12.28515625" customWidth="1"/>
    <col min="2" max="2" width="30.7109375" customWidth="1"/>
    <col min="3" max="3" width="22.28515625" customWidth="1"/>
    <col min="4" max="4" width="22" customWidth="1"/>
    <col min="5" max="5" width="22.5703125" customWidth="1"/>
    <col min="6" max="6" width="22.28515625" customWidth="1"/>
    <col min="7" max="7" width="12.42578125" bestFit="1" customWidth="1"/>
    <col min="8" max="8" width="21.140625" customWidth="1"/>
  </cols>
  <sheetData>
    <row r="1" spans="1:8" ht="21" x14ac:dyDescent="0.25">
      <c r="A1" s="1"/>
      <c r="B1" s="2"/>
      <c r="C1" s="46" t="s">
        <v>2</v>
      </c>
      <c r="D1" s="46" t="s">
        <v>3</v>
      </c>
      <c r="E1" s="48" t="s">
        <v>4</v>
      </c>
      <c r="F1" s="46" t="s">
        <v>5</v>
      </c>
      <c r="G1" s="46" t="s">
        <v>6</v>
      </c>
      <c r="H1" s="46" t="s">
        <v>7</v>
      </c>
    </row>
    <row r="2" spans="1:8" ht="45.75" customHeight="1" thickBot="1" x14ac:dyDescent="0.3">
      <c r="A2" s="3" t="s">
        <v>0</v>
      </c>
      <c r="B2" s="4" t="s">
        <v>1</v>
      </c>
      <c r="C2" s="47"/>
      <c r="D2" s="47"/>
      <c r="E2" s="49"/>
      <c r="F2" s="47"/>
      <c r="G2" s="47"/>
      <c r="H2" s="47"/>
    </row>
    <row r="3" spans="1:8" ht="21.75" thickBot="1" x14ac:dyDescent="0.3">
      <c r="A3" s="5">
        <v>10000</v>
      </c>
      <c r="B3" s="6" t="s">
        <v>8</v>
      </c>
      <c r="C3" s="6" t="s">
        <v>9</v>
      </c>
      <c r="D3" s="6" t="s">
        <v>10</v>
      </c>
      <c r="E3" s="14">
        <v>43963</v>
      </c>
      <c r="F3" s="15">
        <v>43966</v>
      </c>
      <c r="G3" s="9">
        <v>5.25</v>
      </c>
      <c r="H3" s="10">
        <v>24.45</v>
      </c>
    </row>
    <row r="4" spans="1:8" ht="21.75" thickBot="1" x14ac:dyDescent="0.3">
      <c r="A4" s="5">
        <v>10001</v>
      </c>
      <c r="B4" s="6" t="s">
        <v>11</v>
      </c>
      <c r="C4" s="6" t="s">
        <v>12</v>
      </c>
      <c r="D4" s="6" t="s">
        <v>13</v>
      </c>
      <c r="E4" s="14">
        <v>43964</v>
      </c>
      <c r="F4" s="15">
        <v>43967</v>
      </c>
      <c r="G4" s="9">
        <v>5</v>
      </c>
      <c r="H4" s="10">
        <v>19.45</v>
      </c>
    </row>
    <row r="5" spans="1:8" ht="21.75" thickBot="1" x14ac:dyDescent="0.3">
      <c r="A5" s="5">
        <v>10002</v>
      </c>
      <c r="B5" s="6" t="s">
        <v>14</v>
      </c>
      <c r="C5" s="6" t="s">
        <v>15</v>
      </c>
      <c r="D5" s="6" t="s">
        <v>10</v>
      </c>
      <c r="E5" s="14">
        <v>43965</v>
      </c>
      <c r="F5" s="15">
        <v>43968</v>
      </c>
      <c r="G5" s="9">
        <v>4.75</v>
      </c>
      <c r="H5" s="10">
        <v>36.18</v>
      </c>
    </row>
    <row r="6" spans="1:8" ht="21.75" thickBot="1" x14ac:dyDescent="0.3">
      <c r="A6" s="5">
        <v>10003</v>
      </c>
      <c r="B6" s="6" t="s">
        <v>16</v>
      </c>
      <c r="C6" s="6" t="s">
        <v>17</v>
      </c>
      <c r="D6" s="6" t="s">
        <v>18</v>
      </c>
      <c r="E6" s="14">
        <v>43966</v>
      </c>
      <c r="F6" s="15">
        <v>43975</v>
      </c>
      <c r="G6" s="9">
        <v>1.25</v>
      </c>
      <c r="H6" s="10">
        <v>118.59</v>
      </c>
    </row>
    <row r="7" spans="1:8" ht="21.75" thickBot="1" x14ac:dyDescent="0.3">
      <c r="A7" s="5">
        <v>10004</v>
      </c>
      <c r="B7" s="6" t="s">
        <v>19</v>
      </c>
      <c r="C7" s="6" t="s">
        <v>20</v>
      </c>
      <c r="D7" s="6" t="s">
        <v>10</v>
      </c>
      <c r="E7" s="14">
        <v>43967</v>
      </c>
      <c r="F7" s="15">
        <v>43971</v>
      </c>
      <c r="G7" s="9">
        <v>4.5650000000000004</v>
      </c>
      <c r="H7" s="10">
        <v>120.12</v>
      </c>
    </row>
    <row r="8" spans="1:8" ht="21.75" thickBot="1" x14ac:dyDescent="0.3">
      <c r="A8" s="5">
        <v>10005</v>
      </c>
      <c r="B8" s="6" t="s">
        <v>21</v>
      </c>
      <c r="C8" s="6" t="s">
        <v>22</v>
      </c>
      <c r="D8" s="6" t="s">
        <v>13</v>
      </c>
      <c r="E8" s="14">
        <v>43971</v>
      </c>
      <c r="F8" s="15">
        <v>43975</v>
      </c>
      <c r="G8" s="9">
        <v>3.4</v>
      </c>
      <c r="H8" s="11">
        <v>4.13</v>
      </c>
    </row>
    <row r="9" spans="1:8" ht="21.75" thickBot="1" x14ac:dyDescent="0.3">
      <c r="A9" s="5">
        <v>10006</v>
      </c>
      <c r="B9" s="6" t="s">
        <v>23</v>
      </c>
      <c r="C9" s="6" t="s">
        <v>24</v>
      </c>
      <c r="D9" s="6" t="s">
        <v>10</v>
      </c>
      <c r="E9" s="14">
        <v>43972</v>
      </c>
      <c r="F9" s="15">
        <v>43975</v>
      </c>
      <c r="G9" s="12">
        <v>12.55</v>
      </c>
      <c r="H9" s="10">
        <v>83.62</v>
      </c>
    </row>
    <row r="10" spans="1:8" ht="21.75" thickBot="1" x14ac:dyDescent="0.3">
      <c r="A10" s="5">
        <v>10007</v>
      </c>
      <c r="B10" s="6" t="s">
        <v>25</v>
      </c>
      <c r="C10" s="6" t="s">
        <v>26</v>
      </c>
      <c r="D10" s="6" t="s">
        <v>13</v>
      </c>
      <c r="E10" s="14">
        <v>43974</v>
      </c>
      <c r="F10" s="15">
        <v>43980</v>
      </c>
      <c r="G10" s="9">
        <v>1.125</v>
      </c>
      <c r="H10" s="10">
        <v>74.22</v>
      </c>
    </row>
    <row r="11" spans="1:8" ht="21.75" thickBot="1" x14ac:dyDescent="0.3">
      <c r="A11" s="5">
        <v>10008</v>
      </c>
      <c r="B11" s="6" t="s">
        <v>27</v>
      </c>
      <c r="C11" s="6" t="s">
        <v>28</v>
      </c>
      <c r="D11" s="6" t="s">
        <v>13</v>
      </c>
      <c r="E11" s="14">
        <v>43975</v>
      </c>
      <c r="F11" s="15">
        <v>43982</v>
      </c>
      <c r="G11" s="9">
        <v>6.75</v>
      </c>
      <c r="H11" s="10">
        <v>49.21</v>
      </c>
    </row>
    <row r="12" spans="1:8" ht="21.75" thickBot="1" x14ac:dyDescent="0.3">
      <c r="A12" s="5">
        <v>10009</v>
      </c>
      <c r="B12" s="6" t="s">
        <v>16</v>
      </c>
      <c r="C12" s="6" t="s">
        <v>17</v>
      </c>
      <c r="D12" s="6" t="s">
        <v>18</v>
      </c>
      <c r="E12" s="14">
        <v>43979</v>
      </c>
      <c r="F12" s="15">
        <v>43981</v>
      </c>
      <c r="G12" s="9">
        <v>4.45</v>
      </c>
      <c r="H12" s="11">
        <v>3.01</v>
      </c>
    </row>
    <row r="13" spans="1:8" ht="42.75" thickBot="1" x14ac:dyDescent="0.3">
      <c r="A13" s="5">
        <v>10010</v>
      </c>
      <c r="B13" s="6" t="s">
        <v>29</v>
      </c>
      <c r="C13" s="6" t="s">
        <v>26</v>
      </c>
      <c r="D13" s="6" t="s">
        <v>13</v>
      </c>
      <c r="E13" s="14">
        <v>43980</v>
      </c>
      <c r="F13" s="16">
        <v>43985</v>
      </c>
      <c r="G13" s="9">
        <v>3.75</v>
      </c>
      <c r="H13" s="10">
        <v>31.54</v>
      </c>
    </row>
    <row r="14" spans="1:8" ht="42.75" thickBot="1" x14ac:dyDescent="0.3">
      <c r="A14" s="5">
        <v>10011</v>
      </c>
      <c r="B14" s="6" t="s">
        <v>30</v>
      </c>
      <c r="C14" s="6" t="s">
        <v>31</v>
      </c>
      <c r="D14" s="6" t="s">
        <v>18</v>
      </c>
      <c r="E14" s="14">
        <v>43981</v>
      </c>
      <c r="F14" s="16">
        <v>43985</v>
      </c>
      <c r="G14" s="9">
        <v>2.2000000000000002</v>
      </c>
      <c r="H14" s="10">
        <v>102.59</v>
      </c>
    </row>
    <row r="15" spans="1:8" ht="21.75" thickBot="1" x14ac:dyDescent="0.3">
      <c r="A15" s="5">
        <v>10012</v>
      </c>
      <c r="B15" s="6" t="s">
        <v>32</v>
      </c>
      <c r="C15" s="6" t="s">
        <v>24</v>
      </c>
      <c r="D15" s="6" t="s">
        <v>10</v>
      </c>
      <c r="E15" s="14">
        <v>43982</v>
      </c>
      <c r="F15" s="16">
        <v>43989</v>
      </c>
      <c r="G15" s="9">
        <v>5.55</v>
      </c>
      <c r="H15" s="10">
        <v>50.87</v>
      </c>
    </row>
    <row r="16" spans="1:8" ht="42.75" thickBot="1" x14ac:dyDescent="0.3">
      <c r="A16" s="17">
        <v>10013</v>
      </c>
      <c r="B16" s="18" t="s">
        <v>33</v>
      </c>
      <c r="C16" s="18" t="s">
        <v>34</v>
      </c>
      <c r="D16" s="18" t="s">
        <v>18</v>
      </c>
      <c r="E16" s="19">
        <v>40332</v>
      </c>
      <c r="F16" s="20">
        <v>40341</v>
      </c>
      <c r="G16" s="21">
        <v>7.75</v>
      </c>
      <c r="H16" s="22">
        <v>107.67</v>
      </c>
    </row>
    <row r="17" spans="1:8" ht="21.75" thickBot="1" x14ac:dyDescent="0.3">
      <c r="A17" s="5">
        <v>10014</v>
      </c>
      <c r="B17" s="6" t="s">
        <v>35</v>
      </c>
      <c r="C17" s="6" t="s">
        <v>36</v>
      </c>
      <c r="D17" s="6" t="s">
        <v>10</v>
      </c>
      <c r="E17" s="7">
        <v>40334</v>
      </c>
      <c r="F17" s="8">
        <v>40349</v>
      </c>
      <c r="G17" s="12">
        <v>22.05</v>
      </c>
      <c r="H17" s="10">
        <v>222.1</v>
      </c>
    </row>
    <row r="18" spans="1:8" ht="21.75" thickBot="1" x14ac:dyDescent="0.3">
      <c r="A18" s="5">
        <v>10015</v>
      </c>
      <c r="B18" s="6" t="s">
        <v>37</v>
      </c>
      <c r="C18" s="6" t="s">
        <v>38</v>
      </c>
      <c r="D18" s="6" t="s">
        <v>10</v>
      </c>
      <c r="E18" s="7">
        <v>40335</v>
      </c>
      <c r="F18" s="8">
        <v>40370</v>
      </c>
      <c r="G18" s="9">
        <v>9</v>
      </c>
      <c r="H18" s="10">
        <v>113.01</v>
      </c>
    </row>
    <row r="19" spans="1:8" ht="42.75" thickBot="1" x14ac:dyDescent="0.3">
      <c r="A19" s="5">
        <v>10016</v>
      </c>
      <c r="B19" s="6" t="s">
        <v>39</v>
      </c>
      <c r="C19" s="6" t="s">
        <v>22</v>
      </c>
      <c r="D19" s="6" t="s">
        <v>13</v>
      </c>
      <c r="E19" s="7">
        <v>40339</v>
      </c>
      <c r="F19" s="13">
        <v>40364</v>
      </c>
      <c r="G19" s="9">
        <v>5.55</v>
      </c>
      <c r="H19" s="11">
        <v>5.46</v>
      </c>
    </row>
    <row r="20" spans="1:8" ht="42.75" thickBot="1" x14ac:dyDescent="0.3">
      <c r="A20" s="5">
        <v>10017</v>
      </c>
      <c r="B20" s="6" t="s">
        <v>40</v>
      </c>
      <c r="C20" s="6" t="s">
        <v>34</v>
      </c>
      <c r="D20" s="6" t="s">
        <v>18</v>
      </c>
      <c r="E20" s="7">
        <v>40340</v>
      </c>
      <c r="F20" s="8">
        <v>40349</v>
      </c>
      <c r="G20" s="9">
        <v>3.45</v>
      </c>
      <c r="H20" s="10">
        <v>92.42</v>
      </c>
    </row>
    <row r="21" spans="1:8" ht="21.75" thickBot="1" x14ac:dyDescent="0.3">
      <c r="A21" s="5">
        <v>10018</v>
      </c>
      <c r="B21" s="6" t="s">
        <v>41</v>
      </c>
      <c r="C21" s="6" t="s">
        <v>9</v>
      </c>
      <c r="D21" s="6" t="s">
        <v>10</v>
      </c>
      <c r="E21" s="7">
        <v>40342</v>
      </c>
      <c r="F21" s="8">
        <v>40355</v>
      </c>
      <c r="G21" s="12">
        <v>15.5</v>
      </c>
      <c r="H21" s="10">
        <v>77.510000000000005</v>
      </c>
    </row>
    <row r="22" spans="1:8" ht="21.75" thickBot="1" x14ac:dyDescent="0.3">
      <c r="A22" s="5">
        <v>10019</v>
      </c>
      <c r="B22" s="6" t="s">
        <v>42</v>
      </c>
      <c r="C22" s="6" t="s">
        <v>24</v>
      </c>
      <c r="D22" s="6" t="s">
        <v>10</v>
      </c>
      <c r="E22" s="7">
        <v>40343</v>
      </c>
      <c r="F22" s="13">
        <v>40361</v>
      </c>
      <c r="G22" s="9">
        <v>4.8499999999999996</v>
      </c>
      <c r="H22" s="10">
        <v>75.17</v>
      </c>
    </row>
    <row r="23" spans="1:8" ht="21.75" thickBot="1" x14ac:dyDescent="0.3">
      <c r="A23" s="5">
        <v>10020</v>
      </c>
      <c r="B23" s="6" t="s">
        <v>43</v>
      </c>
      <c r="C23" s="6" t="s">
        <v>22</v>
      </c>
      <c r="D23" s="6" t="s">
        <v>13</v>
      </c>
      <c r="E23" s="7">
        <v>40346</v>
      </c>
      <c r="F23" s="8">
        <v>40381</v>
      </c>
      <c r="G23" s="12">
        <v>23</v>
      </c>
      <c r="H23" s="11">
        <v>4.5999999999999996</v>
      </c>
    </row>
    <row r="24" spans="1:8" ht="21.75" thickBot="1" x14ac:dyDescent="0.3">
      <c r="A24" s="5">
        <v>10021</v>
      </c>
      <c r="B24" s="6" t="s">
        <v>44</v>
      </c>
      <c r="C24" s="6" t="s">
        <v>20</v>
      </c>
      <c r="D24" s="6" t="s">
        <v>10</v>
      </c>
      <c r="E24" s="7">
        <v>40347</v>
      </c>
      <c r="F24" s="8">
        <v>40357</v>
      </c>
      <c r="G24" s="12">
        <v>13.7</v>
      </c>
      <c r="H24" s="10">
        <v>66.87</v>
      </c>
    </row>
    <row r="25" spans="1:8" ht="42.75" thickBot="1" x14ac:dyDescent="0.3">
      <c r="A25" s="5">
        <v>10022</v>
      </c>
      <c r="B25" s="6" t="s">
        <v>45</v>
      </c>
      <c r="C25" s="6" t="s">
        <v>20</v>
      </c>
      <c r="D25" s="6" t="s">
        <v>10</v>
      </c>
      <c r="E25" s="7">
        <v>40348</v>
      </c>
      <c r="F25" s="8">
        <v>40350</v>
      </c>
      <c r="G25" s="9">
        <v>5.65</v>
      </c>
      <c r="H25" s="10">
        <v>55.19</v>
      </c>
    </row>
    <row r="26" spans="1:8" ht="42.75" thickBot="1" x14ac:dyDescent="0.3">
      <c r="A26" s="5">
        <v>10023</v>
      </c>
      <c r="B26" s="6" t="s">
        <v>45</v>
      </c>
      <c r="C26" s="6" t="s">
        <v>20</v>
      </c>
      <c r="D26" s="6" t="s">
        <v>10</v>
      </c>
      <c r="E26" s="7">
        <v>40350</v>
      </c>
      <c r="F26" s="8">
        <v>40354</v>
      </c>
      <c r="G26" s="9">
        <v>8.25</v>
      </c>
      <c r="H26" s="10">
        <v>39.32</v>
      </c>
    </row>
    <row r="27" spans="1:8" ht="21.75" thickBot="1" x14ac:dyDescent="0.3">
      <c r="A27" s="5">
        <v>10024</v>
      </c>
      <c r="B27" s="6" t="s">
        <v>42</v>
      </c>
      <c r="C27" s="6" t="s">
        <v>24</v>
      </c>
      <c r="D27" s="6" t="s">
        <v>10</v>
      </c>
      <c r="E27" s="7">
        <v>40354</v>
      </c>
      <c r="F27" s="13">
        <v>40361</v>
      </c>
      <c r="G27" s="9">
        <v>7.85</v>
      </c>
      <c r="H27" s="10">
        <v>100.13</v>
      </c>
    </row>
    <row r="28" spans="1:8" ht="21.75" thickBot="1" x14ac:dyDescent="0.3">
      <c r="A28" s="5">
        <v>10025</v>
      </c>
      <c r="B28" s="6" t="s">
        <v>46</v>
      </c>
      <c r="C28" s="6" t="s">
        <v>12</v>
      </c>
      <c r="D28" s="6" t="s">
        <v>13</v>
      </c>
      <c r="E28" s="7">
        <v>40355</v>
      </c>
      <c r="F28" s="8">
        <v>40390</v>
      </c>
      <c r="G28" s="9">
        <v>5.45</v>
      </c>
      <c r="H28" s="10">
        <v>46.86</v>
      </c>
    </row>
    <row r="29" spans="1:8" ht="21.75" thickBot="1" x14ac:dyDescent="0.3">
      <c r="A29" s="5">
        <v>10026</v>
      </c>
      <c r="B29" s="6" t="s">
        <v>47</v>
      </c>
      <c r="C29" s="6" t="s">
        <v>31</v>
      </c>
      <c r="D29" s="6" t="s">
        <v>18</v>
      </c>
      <c r="E29" s="7">
        <v>40356</v>
      </c>
      <c r="F29" s="13">
        <v>40364</v>
      </c>
      <c r="G29" s="9">
        <v>2.34</v>
      </c>
      <c r="H29" s="11">
        <v>6.72</v>
      </c>
    </row>
    <row r="30" spans="1:8" ht="21.75" thickBot="1" x14ac:dyDescent="0.3">
      <c r="A30" s="5">
        <v>10027</v>
      </c>
      <c r="B30" s="6" t="s">
        <v>48</v>
      </c>
      <c r="C30" s="6" t="s">
        <v>49</v>
      </c>
      <c r="D30" s="6" t="s">
        <v>13</v>
      </c>
      <c r="E30" s="7">
        <v>40362</v>
      </c>
      <c r="F30" s="13">
        <v>40368</v>
      </c>
      <c r="G30" s="9">
        <v>5.9</v>
      </c>
      <c r="H30" s="11">
        <v>0.26</v>
      </c>
    </row>
    <row r="31" spans="1:8" ht="21.75" thickBot="1" x14ac:dyDescent="0.3">
      <c r="A31" s="5">
        <v>10028</v>
      </c>
      <c r="B31" s="6" t="s">
        <v>50</v>
      </c>
      <c r="C31" s="6" t="s">
        <v>49</v>
      </c>
      <c r="D31" s="6" t="s">
        <v>13</v>
      </c>
      <c r="E31" s="7">
        <v>40363</v>
      </c>
      <c r="F31" s="13">
        <v>40367</v>
      </c>
      <c r="G31" s="9">
        <v>7.4</v>
      </c>
      <c r="H31" s="11">
        <v>8.52</v>
      </c>
    </row>
    <row r="32" spans="1:8" ht="21.75" thickBot="1" x14ac:dyDescent="0.3">
      <c r="A32" s="5">
        <v>10029</v>
      </c>
      <c r="B32" s="6" t="s">
        <v>51</v>
      </c>
      <c r="C32" s="6" t="s">
        <v>12</v>
      </c>
      <c r="D32" s="6" t="s">
        <v>13</v>
      </c>
      <c r="E32" s="7">
        <v>40364</v>
      </c>
      <c r="F32" s="8">
        <v>40376</v>
      </c>
      <c r="G32" s="12">
        <v>11.25</v>
      </c>
      <c r="H32" s="10">
        <v>64.17</v>
      </c>
    </row>
    <row r="33" spans="1:8" ht="21.75" thickBot="1" x14ac:dyDescent="0.3">
      <c r="A33" s="5">
        <v>10030</v>
      </c>
      <c r="B33" s="6" t="s">
        <v>52</v>
      </c>
      <c r="C33" s="6" t="s">
        <v>53</v>
      </c>
      <c r="D33" s="6" t="s">
        <v>18</v>
      </c>
      <c r="E33" s="7">
        <v>40368</v>
      </c>
      <c r="F33" s="8">
        <v>40376</v>
      </c>
      <c r="G33" s="9">
        <v>5.125</v>
      </c>
      <c r="H33" s="10">
        <v>192.55</v>
      </c>
    </row>
    <row r="34" spans="1:8" ht="42.75" thickBot="1" x14ac:dyDescent="0.3">
      <c r="A34" s="5">
        <v>10031</v>
      </c>
      <c r="B34" s="6" t="s">
        <v>30</v>
      </c>
      <c r="C34" s="6" t="s">
        <v>31</v>
      </c>
      <c r="D34" s="6" t="s">
        <v>18</v>
      </c>
      <c r="E34" s="7">
        <v>40369</v>
      </c>
      <c r="F34" s="8">
        <v>40376</v>
      </c>
      <c r="G34" s="9">
        <v>3.75</v>
      </c>
      <c r="H34" s="10">
        <v>17</v>
      </c>
    </row>
    <row r="35" spans="1:8" ht="21.75" thickBot="1" x14ac:dyDescent="0.3">
      <c r="A35" s="5">
        <v>10032</v>
      </c>
      <c r="B35" s="6" t="s">
        <v>19</v>
      </c>
      <c r="C35" s="6" t="s">
        <v>20</v>
      </c>
      <c r="D35" s="6" t="s">
        <v>10</v>
      </c>
      <c r="E35" s="7">
        <v>40370</v>
      </c>
      <c r="F35" s="8">
        <v>40376</v>
      </c>
      <c r="G35" s="9">
        <v>4.1399999999999997</v>
      </c>
      <c r="H35" s="10">
        <v>29.63</v>
      </c>
    </row>
    <row r="36" spans="1:8" ht="21.75" thickBot="1" x14ac:dyDescent="0.3">
      <c r="A36" s="5">
        <v>10033</v>
      </c>
      <c r="B36" s="6" t="s">
        <v>54</v>
      </c>
      <c r="C36" s="6" t="s">
        <v>36</v>
      </c>
      <c r="D36" s="6" t="s">
        <v>10</v>
      </c>
      <c r="E36" s="7">
        <v>40371</v>
      </c>
      <c r="F36" s="8">
        <v>40374</v>
      </c>
      <c r="G36" s="9">
        <v>9.0500000000000007</v>
      </c>
      <c r="H36" s="10">
        <v>137.37</v>
      </c>
    </row>
    <row r="37" spans="1:8" ht="21.75" thickBot="1" x14ac:dyDescent="0.3">
      <c r="A37" s="5">
        <v>10034</v>
      </c>
      <c r="B37" s="6" t="s">
        <v>11</v>
      </c>
      <c r="C37" s="6" t="s">
        <v>12</v>
      </c>
      <c r="D37" s="6" t="s">
        <v>13</v>
      </c>
      <c r="E37" s="7">
        <v>40374</v>
      </c>
      <c r="F37" s="8">
        <v>40377</v>
      </c>
      <c r="G37" s="9">
        <v>6.95</v>
      </c>
      <c r="H37" s="11">
        <v>7.37</v>
      </c>
    </row>
    <row r="38" spans="1:8" ht="42.75" thickBot="1" x14ac:dyDescent="0.3">
      <c r="A38" s="5">
        <v>10035</v>
      </c>
      <c r="B38" s="6" t="s">
        <v>55</v>
      </c>
      <c r="C38" s="6" t="s">
        <v>38</v>
      </c>
      <c r="D38" s="6" t="s">
        <v>10</v>
      </c>
      <c r="E38" s="7">
        <v>40376</v>
      </c>
      <c r="F38" s="8">
        <v>40385</v>
      </c>
      <c r="G38" s="9">
        <v>8.5</v>
      </c>
      <c r="H38" s="10">
        <v>51.88</v>
      </c>
    </row>
    <row r="39" spans="1:8" ht="21.75" thickBot="1" x14ac:dyDescent="0.3">
      <c r="A39" s="5">
        <v>10036</v>
      </c>
      <c r="B39" s="6" t="s">
        <v>52</v>
      </c>
      <c r="C39" s="6" t="s">
        <v>53</v>
      </c>
      <c r="D39" s="6" t="s">
        <v>18</v>
      </c>
      <c r="E39" s="7">
        <v>40377</v>
      </c>
      <c r="F39" s="8">
        <v>40390</v>
      </c>
      <c r="G39" s="9">
        <v>3.3</v>
      </c>
      <c r="H39" s="11">
        <v>2.54</v>
      </c>
    </row>
    <row r="40" spans="1:8" ht="21.75" thickBot="1" x14ac:dyDescent="0.3">
      <c r="A40" s="5">
        <v>10037</v>
      </c>
      <c r="B40" s="6" t="s">
        <v>14</v>
      </c>
      <c r="C40" s="6" t="s">
        <v>15</v>
      </c>
      <c r="D40" s="6" t="s">
        <v>10</v>
      </c>
      <c r="E40" s="7">
        <v>40378</v>
      </c>
      <c r="F40" s="13">
        <v>40403</v>
      </c>
      <c r="G40" s="9">
        <v>6.35</v>
      </c>
      <c r="H40" s="10">
        <v>106.03</v>
      </c>
    </row>
    <row r="41" spans="1:8" ht="42.75" thickBot="1" x14ac:dyDescent="0.3">
      <c r="A41" s="5">
        <v>10038</v>
      </c>
      <c r="B41" s="6" t="s">
        <v>30</v>
      </c>
      <c r="C41" s="6" t="s">
        <v>31</v>
      </c>
      <c r="D41" s="6" t="s">
        <v>18</v>
      </c>
      <c r="E41" s="7">
        <v>40381</v>
      </c>
      <c r="F41" s="8">
        <v>40390</v>
      </c>
      <c r="G41" s="12">
        <v>32.5</v>
      </c>
      <c r="H41" s="10">
        <v>166.19</v>
      </c>
    </row>
    <row r="42" spans="1:8" ht="21.75" thickBot="1" x14ac:dyDescent="0.3">
      <c r="A42" s="5">
        <v>10039</v>
      </c>
      <c r="B42" s="6" t="s">
        <v>46</v>
      </c>
      <c r="C42" s="6" t="s">
        <v>12</v>
      </c>
      <c r="D42" s="6" t="s">
        <v>13</v>
      </c>
      <c r="E42" s="7">
        <v>40382</v>
      </c>
      <c r="F42" s="13">
        <v>40391</v>
      </c>
      <c r="G42" s="9">
        <v>0.75</v>
      </c>
      <c r="H42" s="10">
        <v>67.61</v>
      </c>
    </row>
    <row r="43" spans="1:8" ht="21.75" thickBot="1" x14ac:dyDescent="0.3">
      <c r="A43" s="5">
        <v>10040</v>
      </c>
      <c r="B43" s="6" t="s">
        <v>56</v>
      </c>
      <c r="C43" s="6" t="s">
        <v>49</v>
      </c>
      <c r="D43" s="6" t="s">
        <v>13</v>
      </c>
      <c r="E43" s="7">
        <v>40384</v>
      </c>
      <c r="F43" s="8">
        <v>40390</v>
      </c>
      <c r="G43" s="12">
        <v>17.850000000000001</v>
      </c>
      <c r="H43" s="10">
        <v>22.42</v>
      </c>
    </row>
    <row r="44" spans="1:8" ht="21.75" thickBot="1" x14ac:dyDescent="0.3">
      <c r="A44" s="5">
        <v>10041</v>
      </c>
      <c r="B44" s="6" t="s">
        <v>47</v>
      </c>
      <c r="C44" s="6" t="s">
        <v>53</v>
      </c>
      <c r="D44" s="6" t="s">
        <v>18</v>
      </c>
      <c r="E44" s="7">
        <v>40385</v>
      </c>
      <c r="F44" s="13">
        <v>40392</v>
      </c>
      <c r="G44" s="12">
        <v>22.15</v>
      </c>
      <c r="H44" s="10">
        <v>16.190000000000001</v>
      </c>
    </row>
    <row r="45" spans="1:8" ht="21.75" thickBot="1" x14ac:dyDescent="0.3">
      <c r="A45" s="5">
        <v>10042</v>
      </c>
      <c r="B45" s="6" t="s">
        <v>57</v>
      </c>
      <c r="C45" s="6" t="s">
        <v>26</v>
      </c>
      <c r="D45" s="6" t="s">
        <v>13</v>
      </c>
      <c r="E45" s="7">
        <v>40388</v>
      </c>
      <c r="F45" s="13">
        <v>40391</v>
      </c>
      <c r="G45" s="12">
        <v>43.75</v>
      </c>
      <c r="H45" s="10">
        <v>17.7</v>
      </c>
    </row>
    <row r="46" spans="1:8" ht="21.75" thickBot="1" x14ac:dyDescent="0.3">
      <c r="A46" s="5">
        <v>10043</v>
      </c>
      <c r="B46" s="6" t="s">
        <v>58</v>
      </c>
      <c r="C46" s="6" t="s">
        <v>20</v>
      </c>
      <c r="D46" s="6" t="s">
        <v>10</v>
      </c>
      <c r="E46" s="7">
        <v>40389</v>
      </c>
      <c r="F46" s="13">
        <v>40411</v>
      </c>
      <c r="G46" s="12">
        <v>34.700000000000003</v>
      </c>
      <c r="H46" s="10">
        <v>61.83</v>
      </c>
    </row>
    <row r="47" spans="1:8" ht="21.75" thickBot="1" x14ac:dyDescent="0.3">
      <c r="A47" s="5">
        <v>10044</v>
      </c>
      <c r="B47" s="6" t="s">
        <v>44</v>
      </c>
      <c r="C47" s="6" t="s">
        <v>20</v>
      </c>
      <c r="D47" s="6" t="s">
        <v>10</v>
      </c>
      <c r="E47" s="7">
        <v>40390</v>
      </c>
      <c r="F47" s="13">
        <v>40395</v>
      </c>
      <c r="G47" s="9">
        <v>5.9</v>
      </c>
      <c r="H47" s="11">
        <v>4.8</v>
      </c>
    </row>
    <row r="48" spans="1:8" ht="21.75" thickBot="1" x14ac:dyDescent="0.3">
      <c r="A48" s="5">
        <v>10045</v>
      </c>
      <c r="B48" s="6" t="s">
        <v>48</v>
      </c>
      <c r="C48" s="6" t="s">
        <v>59</v>
      </c>
      <c r="D48" s="6" t="s">
        <v>10</v>
      </c>
      <c r="E48" s="8">
        <v>40392</v>
      </c>
      <c r="F48" s="13">
        <v>40398</v>
      </c>
      <c r="G48" s="9">
        <v>8.5</v>
      </c>
      <c r="H48" s="10">
        <v>48.64</v>
      </c>
    </row>
    <row r="49" spans="1:8" ht="21.75" thickBot="1" x14ac:dyDescent="0.3">
      <c r="A49" s="5">
        <v>10046</v>
      </c>
      <c r="B49" s="6" t="s">
        <v>14</v>
      </c>
      <c r="C49" s="6" t="s">
        <v>15</v>
      </c>
      <c r="D49" s="6" t="s">
        <v>10</v>
      </c>
      <c r="E49" s="8">
        <v>40395</v>
      </c>
      <c r="F49" s="13">
        <v>40413</v>
      </c>
      <c r="G49" s="12">
        <v>18.899999999999999</v>
      </c>
      <c r="H49" s="10">
        <v>21.73</v>
      </c>
    </row>
    <row r="50" spans="1:8" ht="21.75" thickBot="1" x14ac:dyDescent="0.3">
      <c r="A50" s="5">
        <v>10047</v>
      </c>
      <c r="B50" s="6" t="s">
        <v>43</v>
      </c>
      <c r="C50" s="6" t="s">
        <v>22</v>
      </c>
      <c r="D50" s="6" t="s">
        <v>13</v>
      </c>
      <c r="E50" s="8">
        <v>40396</v>
      </c>
      <c r="F50" s="13">
        <v>40415</v>
      </c>
      <c r="G50" s="12">
        <v>26.9</v>
      </c>
      <c r="H50" s="10">
        <v>34.5</v>
      </c>
    </row>
    <row r="51" spans="1:8" ht="21.75" thickBot="1" x14ac:dyDescent="0.3">
      <c r="A51" s="5">
        <v>10048</v>
      </c>
      <c r="B51" s="6" t="s">
        <v>60</v>
      </c>
      <c r="C51" s="6" t="s">
        <v>28</v>
      </c>
      <c r="D51" s="6" t="s">
        <v>13</v>
      </c>
      <c r="E51" s="8">
        <v>40396</v>
      </c>
      <c r="F51" s="13">
        <v>40398</v>
      </c>
      <c r="G51" s="12">
        <v>44.2</v>
      </c>
      <c r="H51" s="10">
        <v>181.51</v>
      </c>
    </row>
    <row r="52" spans="1:8" ht="21.75" thickBot="1" x14ac:dyDescent="0.3">
      <c r="A52" s="5">
        <v>10049</v>
      </c>
      <c r="B52" s="6" t="s">
        <v>21</v>
      </c>
      <c r="C52" s="6" t="s">
        <v>22</v>
      </c>
      <c r="D52" s="6" t="s">
        <v>13</v>
      </c>
      <c r="E52" s="8">
        <v>40397</v>
      </c>
      <c r="F52" s="13">
        <v>40399</v>
      </c>
      <c r="G52" s="12">
        <v>25</v>
      </c>
      <c r="H52" s="10">
        <v>62.62</v>
      </c>
    </row>
    <row r="53" spans="1:8" ht="21.75" thickBot="1" x14ac:dyDescent="0.3">
      <c r="A53" s="5">
        <v>10050</v>
      </c>
      <c r="B53" s="6" t="s">
        <v>61</v>
      </c>
      <c r="C53" s="6" t="s">
        <v>22</v>
      </c>
      <c r="D53" s="6" t="s">
        <v>13</v>
      </c>
      <c r="E53" s="8">
        <v>40398</v>
      </c>
      <c r="F53" s="13">
        <v>40403</v>
      </c>
      <c r="G53" s="9">
        <v>9</v>
      </c>
      <c r="H53" s="10">
        <v>52.39</v>
      </c>
    </row>
  </sheetData>
  <mergeCells count="6">
    <mergeCell ref="H1:H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C13" sqref="C13"/>
    </sheetView>
  </sheetViews>
  <sheetFormatPr defaultRowHeight="15" x14ac:dyDescent="0.25"/>
  <cols>
    <col min="1" max="1" width="11.140625" customWidth="1"/>
    <col min="2" max="2" width="25.42578125" customWidth="1"/>
    <col min="3" max="3" width="35.85546875" customWidth="1"/>
    <col min="4" max="4" width="22.7109375" customWidth="1"/>
    <col min="5" max="5" width="22.140625" customWidth="1"/>
    <col min="6" max="6" width="26.5703125" customWidth="1"/>
  </cols>
  <sheetData>
    <row r="1" spans="1:6" ht="18.75" x14ac:dyDescent="0.25">
      <c r="A1" s="50" t="s">
        <v>0</v>
      </c>
      <c r="B1" s="52" t="s">
        <v>1</v>
      </c>
      <c r="C1" s="54" t="s">
        <v>62</v>
      </c>
      <c r="D1" s="56" t="s">
        <v>63</v>
      </c>
      <c r="E1" s="23" t="s">
        <v>64</v>
      </c>
      <c r="F1" s="52" t="s">
        <v>66</v>
      </c>
    </row>
    <row r="2" spans="1:6" ht="19.5" thickBot="1" x14ac:dyDescent="0.3">
      <c r="A2" s="51"/>
      <c r="B2" s="53"/>
      <c r="C2" s="55"/>
      <c r="D2" s="57"/>
      <c r="E2" s="24" t="s">
        <v>65</v>
      </c>
      <c r="F2" s="58"/>
    </row>
    <row r="3" spans="1:6" ht="18.75" thickBot="1" x14ac:dyDescent="0.3">
      <c r="A3" s="25">
        <v>10000</v>
      </c>
      <c r="B3" s="26" t="s">
        <v>8</v>
      </c>
      <c r="C3" s="26" t="s">
        <v>67</v>
      </c>
      <c r="D3" s="27">
        <v>10</v>
      </c>
      <c r="E3" s="28">
        <v>15.95</v>
      </c>
      <c r="F3" s="29">
        <f>D3*E3</f>
        <v>159.5</v>
      </c>
    </row>
    <row r="4" spans="1:6" ht="18.75" thickBot="1" x14ac:dyDescent="0.3">
      <c r="A4" s="25">
        <v>10001</v>
      </c>
      <c r="B4" s="26" t="s">
        <v>11</v>
      </c>
      <c r="C4" s="26" t="s">
        <v>68</v>
      </c>
      <c r="D4" s="27">
        <v>10</v>
      </c>
      <c r="E4" s="28">
        <v>17.55</v>
      </c>
      <c r="F4" s="29">
        <f t="shared" ref="F4:F53" si="0">D4*E4</f>
        <v>175.5</v>
      </c>
    </row>
    <row r="5" spans="1:6" ht="18.75" thickBot="1" x14ac:dyDescent="0.3">
      <c r="A5" s="25">
        <v>10002</v>
      </c>
      <c r="B5" s="26" t="s">
        <v>14</v>
      </c>
      <c r="C5" s="26" t="s">
        <v>69</v>
      </c>
      <c r="D5" s="27">
        <v>47</v>
      </c>
      <c r="E5" s="28">
        <v>22.2</v>
      </c>
      <c r="F5" s="29">
        <f t="shared" si="0"/>
        <v>1043.3999999999999</v>
      </c>
    </row>
    <row r="6" spans="1:6" ht="18.75" thickBot="1" x14ac:dyDescent="0.3">
      <c r="A6" s="25">
        <v>10003</v>
      </c>
      <c r="B6" s="26" t="s">
        <v>16</v>
      </c>
      <c r="C6" s="26" t="s">
        <v>70</v>
      </c>
      <c r="D6" s="27">
        <v>13</v>
      </c>
      <c r="E6" s="28">
        <v>26</v>
      </c>
      <c r="F6" s="29">
        <f t="shared" si="0"/>
        <v>338</v>
      </c>
    </row>
    <row r="7" spans="1:6" ht="36.75" thickBot="1" x14ac:dyDescent="0.3">
      <c r="A7" s="25">
        <v>10004</v>
      </c>
      <c r="B7" s="26" t="s">
        <v>19</v>
      </c>
      <c r="C7" s="26" t="s">
        <v>69</v>
      </c>
      <c r="D7" s="27">
        <v>45</v>
      </c>
      <c r="E7" s="28">
        <v>22.2</v>
      </c>
      <c r="F7" s="29">
        <f t="shared" si="0"/>
        <v>999</v>
      </c>
    </row>
    <row r="8" spans="1:6" ht="36.75" thickBot="1" x14ac:dyDescent="0.3">
      <c r="A8" s="25">
        <v>10005</v>
      </c>
      <c r="B8" s="26" t="s">
        <v>21</v>
      </c>
      <c r="C8" s="26" t="s">
        <v>70</v>
      </c>
      <c r="D8" s="27">
        <v>35</v>
      </c>
      <c r="E8" s="28">
        <v>25</v>
      </c>
      <c r="F8" s="29">
        <f t="shared" si="0"/>
        <v>875</v>
      </c>
    </row>
    <row r="9" spans="1:6" ht="36.75" thickBot="1" x14ac:dyDescent="0.3">
      <c r="A9" s="25">
        <v>10006</v>
      </c>
      <c r="B9" s="26" t="s">
        <v>23</v>
      </c>
      <c r="C9" s="26" t="s">
        <v>71</v>
      </c>
      <c r="D9" s="27">
        <v>125</v>
      </c>
      <c r="E9" s="28">
        <v>31</v>
      </c>
      <c r="F9" s="29">
        <f t="shared" si="0"/>
        <v>3875</v>
      </c>
    </row>
    <row r="10" spans="1:6" ht="18.75" thickBot="1" x14ac:dyDescent="0.3">
      <c r="A10" s="25">
        <v>10007</v>
      </c>
      <c r="B10" s="26" t="s">
        <v>25</v>
      </c>
      <c r="C10" s="26" t="s">
        <v>69</v>
      </c>
      <c r="D10" s="27">
        <v>11</v>
      </c>
      <c r="E10" s="28">
        <v>23.5</v>
      </c>
      <c r="F10" s="29">
        <f t="shared" si="0"/>
        <v>258.5</v>
      </c>
    </row>
    <row r="11" spans="1:6" ht="18.75" thickBot="1" x14ac:dyDescent="0.3">
      <c r="A11" s="25">
        <v>10008</v>
      </c>
      <c r="B11" s="26" t="s">
        <v>27</v>
      </c>
      <c r="C11" s="26" t="s">
        <v>68</v>
      </c>
      <c r="D11" s="27">
        <v>13</v>
      </c>
      <c r="E11" s="28">
        <v>17.55</v>
      </c>
      <c r="F11" s="29">
        <f t="shared" si="0"/>
        <v>228.15</v>
      </c>
    </row>
    <row r="12" spans="1:6" ht="18.75" thickBot="1" x14ac:dyDescent="0.3">
      <c r="A12" s="25">
        <v>10009</v>
      </c>
      <c r="B12" s="26" t="s">
        <v>16</v>
      </c>
      <c r="C12" s="26" t="s">
        <v>71</v>
      </c>
      <c r="D12" s="27">
        <v>45</v>
      </c>
      <c r="E12" s="28">
        <v>33.4</v>
      </c>
      <c r="F12" s="29">
        <f t="shared" si="0"/>
        <v>1503</v>
      </c>
    </row>
    <row r="13" spans="1:6" ht="36.75" thickBot="1" x14ac:dyDescent="0.3">
      <c r="A13" s="25">
        <v>10010</v>
      </c>
      <c r="B13" s="26" t="s">
        <v>29</v>
      </c>
      <c r="C13" s="26" t="s">
        <v>71</v>
      </c>
      <c r="D13" s="27">
        <v>37</v>
      </c>
      <c r="E13" s="28">
        <v>34.1</v>
      </c>
      <c r="F13" s="29">
        <f t="shared" si="0"/>
        <v>1261.7</v>
      </c>
    </row>
    <row r="14" spans="1:6" ht="36.75" thickBot="1" x14ac:dyDescent="0.3">
      <c r="A14" s="25">
        <v>10011</v>
      </c>
      <c r="B14" s="26" t="s">
        <v>30</v>
      </c>
      <c r="C14" s="26" t="s">
        <v>70</v>
      </c>
      <c r="D14" s="27">
        <v>23</v>
      </c>
      <c r="E14" s="28">
        <v>25.5</v>
      </c>
      <c r="F14" s="29">
        <f t="shared" si="0"/>
        <v>586.5</v>
      </c>
    </row>
    <row r="15" spans="1:6" ht="18.75" thickBot="1" x14ac:dyDescent="0.3">
      <c r="A15" s="25">
        <v>10012</v>
      </c>
      <c r="B15" s="26" t="s">
        <v>32</v>
      </c>
      <c r="C15" s="26" t="s">
        <v>68</v>
      </c>
      <c r="D15" s="27">
        <v>11</v>
      </c>
      <c r="E15" s="28">
        <v>17.55</v>
      </c>
      <c r="F15" s="29">
        <f t="shared" si="0"/>
        <v>193.05</v>
      </c>
    </row>
    <row r="16" spans="1:6" ht="36.75" thickBot="1" x14ac:dyDescent="0.3">
      <c r="A16" s="25">
        <v>10013</v>
      </c>
      <c r="B16" s="26" t="s">
        <v>33</v>
      </c>
      <c r="C16" s="26" t="s">
        <v>72</v>
      </c>
      <c r="D16" s="27">
        <v>15</v>
      </c>
      <c r="E16" s="28">
        <v>21.75</v>
      </c>
      <c r="F16" s="29">
        <f t="shared" si="0"/>
        <v>326.25</v>
      </c>
    </row>
    <row r="17" spans="1:6" ht="18.75" thickBot="1" x14ac:dyDescent="0.3">
      <c r="A17" s="25">
        <v>10014</v>
      </c>
      <c r="B17" s="26" t="s">
        <v>35</v>
      </c>
      <c r="C17" s="26" t="s">
        <v>73</v>
      </c>
      <c r="D17" s="27">
        <v>44</v>
      </c>
      <c r="E17" s="28">
        <v>48.2</v>
      </c>
      <c r="F17" s="29">
        <f t="shared" si="0"/>
        <v>2120.8000000000002</v>
      </c>
    </row>
    <row r="18" spans="1:6" ht="18.75" thickBot="1" x14ac:dyDescent="0.3">
      <c r="A18" s="25">
        <v>10015</v>
      </c>
      <c r="B18" s="26" t="s">
        <v>37</v>
      </c>
      <c r="C18" s="26" t="s">
        <v>74</v>
      </c>
      <c r="D18" s="27">
        <v>18</v>
      </c>
      <c r="E18" s="28">
        <v>12.1</v>
      </c>
      <c r="F18" s="29">
        <f t="shared" si="0"/>
        <v>217.79999999999998</v>
      </c>
    </row>
    <row r="19" spans="1:6" ht="36.75" thickBot="1" x14ac:dyDescent="0.3">
      <c r="A19" s="25">
        <v>10016</v>
      </c>
      <c r="B19" s="26" t="s">
        <v>39</v>
      </c>
      <c r="C19" s="26" t="s">
        <v>72</v>
      </c>
      <c r="D19" s="27">
        <v>11</v>
      </c>
      <c r="E19" s="28">
        <v>21.75</v>
      </c>
      <c r="F19" s="29">
        <f t="shared" si="0"/>
        <v>239.25</v>
      </c>
    </row>
    <row r="20" spans="1:6" ht="36.75" thickBot="1" x14ac:dyDescent="0.3">
      <c r="A20" s="25">
        <v>10017</v>
      </c>
      <c r="B20" s="26" t="s">
        <v>40</v>
      </c>
      <c r="C20" s="26" t="s">
        <v>70</v>
      </c>
      <c r="D20" s="27">
        <v>35</v>
      </c>
      <c r="E20" s="28">
        <v>25</v>
      </c>
      <c r="F20" s="29">
        <f t="shared" si="0"/>
        <v>875</v>
      </c>
    </row>
    <row r="21" spans="1:6" ht="36.75" thickBot="1" x14ac:dyDescent="0.3">
      <c r="A21" s="25">
        <v>10018</v>
      </c>
      <c r="B21" s="26" t="s">
        <v>41</v>
      </c>
      <c r="C21" s="26" t="s">
        <v>73</v>
      </c>
      <c r="D21" s="27">
        <v>30</v>
      </c>
      <c r="E21" s="28">
        <v>49.1</v>
      </c>
      <c r="F21" s="29">
        <f t="shared" si="0"/>
        <v>1473</v>
      </c>
    </row>
    <row r="22" spans="1:6" ht="18.75" thickBot="1" x14ac:dyDescent="0.3">
      <c r="A22" s="25">
        <v>10019</v>
      </c>
      <c r="B22" s="26" t="s">
        <v>42</v>
      </c>
      <c r="C22" s="26" t="s">
        <v>71</v>
      </c>
      <c r="D22" s="27">
        <v>48</v>
      </c>
      <c r="E22" s="28">
        <v>33.4</v>
      </c>
      <c r="F22" s="29">
        <f t="shared" si="0"/>
        <v>1603.1999999999998</v>
      </c>
    </row>
    <row r="23" spans="1:6" ht="36.75" thickBot="1" x14ac:dyDescent="0.3">
      <c r="A23" s="25">
        <v>10020</v>
      </c>
      <c r="B23" s="26" t="s">
        <v>43</v>
      </c>
      <c r="C23" s="26" t="s">
        <v>73</v>
      </c>
      <c r="D23" s="27">
        <v>46</v>
      </c>
      <c r="E23" s="28">
        <v>48.2</v>
      </c>
      <c r="F23" s="29">
        <f t="shared" si="0"/>
        <v>2217.2000000000003</v>
      </c>
    </row>
    <row r="24" spans="1:6" ht="18.75" thickBot="1" x14ac:dyDescent="0.3">
      <c r="A24" s="25">
        <v>10021</v>
      </c>
      <c r="B24" s="26" t="s">
        <v>44</v>
      </c>
      <c r="C24" s="26" t="s">
        <v>67</v>
      </c>
      <c r="D24" s="27">
        <v>26</v>
      </c>
      <c r="E24" s="28">
        <v>15.5</v>
      </c>
      <c r="F24" s="29">
        <f t="shared" si="0"/>
        <v>403</v>
      </c>
    </row>
    <row r="25" spans="1:6" ht="36.75" thickBot="1" x14ac:dyDescent="0.3">
      <c r="A25" s="25">
        <v>10022</v>
      </c>
      <c r="B25" s="26" t="s">
        <v>45</v>
      </c>
      <c r="C25" s="26" t="s">
        <v>74</v>
      </c>
      <c r="D25" s="27">
        <v>11</v>
      </c>
      <c r="E25" s="28">
        <v>12.3</v>
      </c>
      <c r="F25" s="29">
        <f t="shared" si="0"/>
        <v>135.30000000000001</v>
      </c>
    </row>
    <row r="26" spans="1:6" ht="36.75" thickBot="1" x14ac:dyDescent="0.3">
      <c r="A26" s="25">
        <v>10023</v>
      </c>
      <c r="B26" s="26" t="s">
        <v>45</v>
      </c>
      <c r="C26" s="26" t="s">
        <v>67</v>
      </c>
      <c r="D26" s="27">
        <v>16</v>
      </c>
      <c r="E26" s="28">
        <v>15.95</v>
      </c>
      <c r="F26" s="29">
        <f t="shared" si="0"/>
        <v>255.2</v>
      </c>
    </row>
    <row r="27" spans="1:6" ht="18.75" thickBot="1" x14ac:dyDescent="0.3">
      <c r="A27" s="25">
        <v>10024</v>
      </c>
      <c r="B27" s="26" t="s">
        <v>42</v>
      </c>
      <c r="C27" s="26" t="s">
        <v>67</v>
      </c>
      <c r="D27" s="27">
        <v>14</v>
      </c>
      <c r="E27" s="28">
        <v>15.95</v>
      </c>
      <c r="F27" s="29">
        <f t="shared" si="0"/>
        <v>223.29999999999998</v>
      </c>
    </row>
    <row r="28" spans="1:6" ht="36.75" thickBot="1" x14ac:dyDescent="0.3">
      <c r="A28" s="25">
        <v>10025</v>
      </c>
      <c r="B28" s="26" t="s">
        <v>46</v>
      </c>
      <c r="C28" s="26" t="s">
        <v>74</v>
      </c>
      <c r="D28" s="27">
        <v>10</v>
      </c>
      <c r="E28" s="28">
        <v>12.3</v>
      </c>
      <c r="F28" s="29">
        <f t="shared" si="0"/>
        <v>123</v>
      </c>
    </row>
    <row r="29" spans="1:6" ht="36.75" thickBot="1" x14ac:dyDescent="0.3">
      <c r="A29" s="25">
        <v>10026</v>
      </c>
      <c r="B29" s="26" t="s">
        <v>47</v>
      </c>
      <c r="C29" s="26" t="s">
        <v>69</v>
      </c>
      <c r="D29" s="27">
        <v>23</v>
      </c>
      <c r="E29" s="28">
        <v>22.9</v>
      </c>
      <c r="F29" s="29">
        <f t="shared" si="0"/>
        <v>526.69999999999993</v>
      </c>
    </row>
    <row r="30" spans="1:6" ht="36.75" thickBot="1" x14ac:dyDescent="0.3">
      <c r="A30" s="25">
        <v>10027</v>
      </c>
      <c r="B30" s="26" t="s">
        <v>48</v>
      </c>
      <c r="C30" s="26" t="s">
        <v>68</v>
      </c>
      <c r="D30" s="27">
        <v>12</v>
      </c>
      <c r="E30" s="28">
        <v>17.55</v>
      </c>
      <c r="F30" s="29">
        <f t="shared" si="0"/>
        <v>210.60000000000002</v>
      </c>
    </row>
    <row r="31" spans="1:6" ht="18.75" thickBot="1" x14ac:dyDescent="0.3">
      <c r="A31" s="25">
        <v>10028</v>
      </c>
      <c r="B31" s="26" t="s">
        <v>50</v>
      </c>
      <c r="C31" s="26" t="s">
        <v>74</v>
      </c>
      <c r="D31" s="27">
        <v>14</v>
      </c>
      <c r="E31" s="28">
        <v>12.3</v>
      </c>
      <c r="F31" s="29">
        <f t="shared" si="0"/>
        <v>172.20000000000002</v>
      </c>
    </row>
    <row r="32" spans="1:6" ht="36.75" thickBot="1" x14ac:dyDescent="0.3">
      <c r="A32" s="25">
        <v>10029</v>
      </c>
      <c r="B32" s="26" t="s">
        <v>51</v>
      </c>
      <c r="C32" s="26" t="s">
        <v>72</v>
      </c>
      <c r="D32" s="27">
        <v>22</v>
      </c>
      <c r="E32" s="28">
        <v>21.25</v>
      </c>
      <c r="F32" s="29">
        <f t="shared" si="0"/>
        <v>467.5</v>
      </c>
    </row>
    <row r="33" spans="1:6" ht="36.75" thickBot="1" x14ac:dyDescent="0.3">
      <c r="A33" s="25">
        <v>10030</v>
      </c>
      <c r="B33" s="26" t="s">
        <v>52</v>
      </c>
      <c r="C33" s="26" t="s">
        <v>68</v>
      </c>
      <c r="D33" s="27">
        <v>10</v>
      </c>
      <c r="E33" s="28">
        <v>17.55</v>
      </c>
      <c r="F33" s="29">
        <f t="shared" si="0"/>
        <v>175.5</v>
      </c>
    </row>
    <row r="34" spans="1:6" ht="36.75" thickBot="1" x14ac:dyDescent="0.3">
      <c r="A34" s="25">
        <v>10031</v>
      </c>
      <c r="B34" s="26" t="s">
        <v>30</v>
      </c>
      <c r="C34" s="26" t="s">
        <v>71</v>
      </c>
      <c r="D34" s="27">
        <v>37</v>
      </c>
      <c r="E34" s="28">
        <v>34.1</v>
      </c>
      <c r="F34" s="29">
        <f t="shared" si="0"/>
        <v>1261.7</v>
      </c>
    </row>
    <row r="35" spans="1:6" ht="36.75" thickBot="1" x14ac:dyDescent="0.3">
      <c r="A35" s="25">
        <v>10032</v>
      </c>
      <c r="B35" s="26" t="s">
        <v>19</v>
      </c>
      <c r="C35" s="26" t="s">
        <v>70</v>
      </c>
      <c r="D35" s="27">
        <v>42</v>
      </c>
      <c r="E35" s="28">
        <v>24</v>
      </c>
      <c r="F35" s="29">
        <f t="shared" si="0"/>
        <v>1008</v>
      </c>
    </row>
    <row r="36" spans="1:6" ht="18.75" thickBot="1" x14ac:dyDescent="0.3">
      <c r="A36" s="25">
        <v>10033</v>
      </c>
      <c r="B36" s="26" t="s">
        <v>54</v>
      </c>
      <c r="C36" s="26" t="s">
        <v>67</v>
      </c>
      <c r="D36" s="27">
        <v>18</v>
      </c>
      <c r="E36" s="28">
        <v>15.95</v>
      </c>
      <c r="F36" s="29">
        <f t="shared" si="0"/>
        <v>287.09999999999997</v>
      </c>
    </row>
    <row r="37" spans="1:6" ht="18.75" thickBot="1" x14ac:dyDescent="0.3">
      <c r="A37" s="25">
        <v>10034</v>
      </c>
      <c r="B37" s="26" t="s">
        <v>11</v>
      </c>
      <c r="C37" s="26" t="s">
        <v>74</v>
      </c>
      <c r="D37" s="27">
        <v>12</v>
      </c>
      <c r="E37" s="28">
        <v>12.3</v>
      </c>
      <c r="F37" s="29">
        <f t="shared" si="0"/>
        <v>147.60000000000002</v>
      </c>
    </row>
    <row r="38" spans="1:6" ht="36.75" thickBot="1" x14ac:dyDescent="0.3">
      <c r="A38" s="25">
        <v>10035</v>
      </c>
      <c r="B38" s="26" t="s">
        <v>55</v>
      </c>
      <c r="C38" s="26" t="s">
        <v>72</v>
      </c>
      <c r="D38" s="27">
        <v>17</v>
      </c>
      <c r="E38" s="28">
        <v>21.75</v>
      </c>
      <c r="F38" s="29">
        <f t="shared" si="0"/>
        <v>369.75</v>
      </c>
    </row>
    <row r="39" spans="1:6" ht="36.75" thickBot="1" x14ac:dyDescent="0.3">
      <c r="A39" s="30">
        <v>10036</v>
      </c>
      <c r="B39" s="31" t="s">
        <v>52</v>
      </c>
      <c r="C39" s="31" t="s">
        <v>70</v>
      </c>
      <c r="D39" s="32">
        <v>34</v>
      </c>
      <c r="E39" s="33">
        <v>25</v>
      </c>
      <c r="F39" s="29">
        <f t="shared" si="0"/>
        <v>850</v>
      </c>
    </row>
    <row r="40" spans="1:6" ht="18.75" thickBot="1" x14ac:dyDescent="0.3">
      <c r="A40" s="25">
        <v>10037</v>
      </c>
      <c r="B40" s="26" t="s">
        <v>14</v>
      </c>
      <c r="C40" s="26" t="s">
        <v>67</v>
      </c>
      <c r="D40" s="27">
        <v>12</v>
      </c>
      <c r="E40" s="28">
        <v>15.95</v>
      </c>
      <c r="F40" s="29">
        <f t="shared" si="0"/>
        <v>191.39999999999998</v>
      </c>
    </row>
    <row r="41" spans="1:6" ht="36.75" thickBot="1" x14ac:dyDescent="0.3">
      <c r="A41" s="25">
        <v>10038</v>
      </c>
      <c r="B41" s="26" t="s">
        <v>30</v>
      </c>
      <c r="C41" s="26" t="s">
        <v>73</v>
      </c>
      <c r="D41" s="27">
        <v>64</v>
      </c>
      <c r="E41" s="28">
        <v>46.7</v>
      </c>
      <c r="F41" s="29">
        <f t="shared" si="0"/>
        <v>2988.8</v>
      </c>
    </row>
    <row r="42" spans="1:6" ht="36.75" thickBot="1" x14ac:dyDescent="0.3">
      <c r="A42" s="25">
        <v>10039</v>
      </c>
      <c r="B42" s="26" t="s">
        <v>46</v>
      </c>
      <c r="C42" s="26" t="s">
        <v>69</v>
      </c>
      <c r="D42" s="27">
        <v>8</v>
      </c>
      <c r="E42" s="28">
        <v>24</v>
      </c>
      <c r="F42" s="29">
        <f t="shared" si="0"/>
        <v>192</v>
      </c>
    </row>
    <row r="43" spans="1:6" ht="36.75" thickBot="1" x14ac:dyDescent="0.3">
      <c r="A43" s="25">
        <v>10040</v>
      </c>
      <c r="B43" s="26" t="s">
        <v>56</v>
      </c>
      <c r="C43" s="26" t="s">
        <v>73</v>
      </c>
      <c r="D43" s="27">
        <v>34</v>
      </c>
      <c r="E43" s="28">
        <v>49.1</v>
      </c>
      <c r="F43" s="29">
        <f t="shared" si="0"/>
        <v>1669.4</v>
      </c>
    </row>
    <row r="44" spans="1:6" ht="36.75" thickBot="1" x14ac:dyDescent="0.3">
      <c r="A44" s="25">
        <v>10041</v>
      </c>
      <c r="B44" s="26" t="s">
        <v>47</v>
      </c>
      <c r="C44" s="26" t="s">
        <v>73</v>
      </c>
      <c r="D44" s="27">
        <v>44</v>
      </c>
      <c r="E44" s="28">
        <v>48.2</v>
      </c>
      <c r="F44" s="29">
        <f t="shared" si="0"/>
        <v>2120.8000000000002</v>
      </c>
    </row>
    <row r="45" spans="1:6" ht="18.75" thickBot="1" x14ac:dyDescent="0.3">
      <c r="A45" s="25">
        <v>10042</v>
      </c>
      <c r="B45" s="26" t="s">
        <v>57</v>
      </c>
      <c r="C45" s="26" t="s">
        <v>74</v>
      </c>
      <c r="D45" s="27">
        <v>90</v>
      </c>
      <c r="E45" s="28">
        <v>11.3</v>
      </c>
      <c r="F45" s="29">
        <f t="shared" si="0"/>
        <v>1017.0000000000001</v>
      </c>
    </row>
    <row r="46" spans="1:6" ht="36.75" thickBot="1" x14ac:dyDescent="0.3">
      <c r="A46" s="25">
        <v>10043</v>
      </c>
      <c r="B46" s="26" t="s">
        <v>58</v>
      </c>
      <c r="C46" s="26" t="s">
        <v>73</v>
      </c>
      <c r="D46" s="27">
        <v>68</v>
      </c>
      <c r="E46" s="28">
        <v>46.7</v>
      </c>
      <c r="F46" s="29">
        <f t="shared" si="0"/>
        <v>3175.6000000000004</v>
      </c>
    </row>
    <row r="47" spans="1:6" ht="18.75" thickBot="1" x14ac:dyDescent="0.3">
      <c r="A47" s="25">
        <v>10044</v>
      </c>
      <c r="B47" s="26" t="s">
        <v>44</v>
      </c>
      <c r="C47" s="26" t="s">
        <v>71</v>
      </c>
      <c r="D47" s="27">
        <v>60</v>
      </c>
      <c r="E47" s="28">
        <v>32.700000000000003</v>
      </c>
      <c r="F47" s="29">
        <f t="shared" si="0"/>
        <v>1962.0000000000002</v>
      </c>
    </row>
    <row r="48" spans="1:6" ht="36.75" thickBot="1" x14ac:dyDescent="0.3">
      <c r="A48" s="25">
        <v>10045</v>
      </c>
      <c r="B48" s="26" t="s">
        <v>48</v>
      </c>
      <c r="C48" s="26" t="s">
        <v>72</v>
      </c>
      <c r="D48" s="27">
        <v>17</v>
      </c>
      <c r="E48" s="28">
        <v>21.75</v>
      </c>
      <c r="F48" s="29">
        <f t="shared" si="0"/>
        <v>369.75</v>
      </c>
    </row>
    <row r="49" spans="1:6" ht="18.75" thickBot="1" x14ac:dyDescent="0.3">
      <c r="A49" s="25">
        <v>10046</v>
      </c>
      <c r="B49" s="26" t="s">
        <v>14</v>
      </c>
      <c r="C49" s="26" t="s">
        <v>74</v>
      </c>
      <c r="D49" s="27">
        <v>32</v>
      </c>
      <c r="E49" s="28">
        <v>11.9</v>
      </c>
      <c r="F49" s="29">
        <f t="shared" si="0"/>
        <v>380.8</v>
      </c>
    </row>
    <row r="50" spans="1:6" ht="36.75" thickBot="1" x14ac:dyDescent="0.3">
      <c r="A50" s="25">
        <v>10047</v>
      </c>
      <c r="B50" s="26" t="s">
        <v>43</v>
      </c>
      <c r="C50" s="26" t="s">
        <v>74</v>
      </c>
      <c r="D50" s="27">
        <v>53</v>
      </c>
      <c r="E50" s="28">
        <v>11.5</v>
      </c>
      <c r="F50" s="29">
        <f t="shared" si="0"/>
        <v>609.5</v>
      </c>
    </row>
    <row r="51" spans="1:6" ht="18.75" thickBot="1" x14ac:dyDescent="0.3">
      <c r="A51" s="25">
        <v>10048</v>
      </c>
      <c r="B51" s="26" t="s">
        <v>60</v>
      </c>
      <c r="C51" s="26" t="s">
        <v>73</v>
      </c>
      <c r="D51" s="27">
        <v>88</v>
      </c>
      <c r="E51" s="28">
        <v>44</v>
      </c>
      <c r="F51" s="29">
        <f t="shared" si="0"/>
        <v>3872</v>
      </c>
    </row>
    <row r="52" spans="1:6" ht="36.75" thickBot="1" x14ac:dyDescent="0.3">
      <c r="A52" s="25">
        <v>10049</v>
      </c>
      <c r="B52" s="26" t="s">
        <v>21</v>
      </c>
      <c r="C52" s="26" t="s">
        <v>67</v>
      </c>
      <c r="D52" s="27">
        <v>50</v>
      </c>
      <c r="E52" s="28">
        <v>14.95</v>
      </c>
      <c r="F52" s="29">
        <f t="shared" si="0"/>
        <v>747.5</v>
      </c>
    </row>
    <row r="53" spans="1:6" ht="18.75" thickBot="1" x14ac:dyDescent="0.3">
      <c r="A53" s="25">
        <v>10050</v>
      </c>
      <c r="B53" s="26" t="s">
        <v>61</v>
      </c>
      <c r="C53" s="26" t="s">
        <v>67</v>
      </c>
      <c r="D53" s="27">
        <v>18</v>
      </c>
      <c r="E53" s="28">
        <v>15.95</v>
      </c>
      <c r="F53" s="29">
        <f t="shared" si="0"/>
        <v>287.09999999999997</v>
      </c>
    </row>
  </sheetData>
  <autoFilter ref="A1:F53"/>
  <mergeCells count="5"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K22" sqref="K22"/>
    </sheetView>
  </sheetViews>
  <sheetFormatPr defaultRowHeight="15" x14ac:dyDescent="0.25"/>
  <cols>
    <col min="2" max="2" width="17.28515625" customWidth="1"/>
    <col min="3" max="3" width="15.5703125" customWidth="1"/>
    <col min="4" max="4" width="18.85546875" customWidth="1"/>
    <col min="5" max="5" width="15.85546875" customWidth="1"/>
    <col min="6" max="6" width="15.42578125" customWidth="1"/>
    <col min="7" max="7" width="13" customWidth="1"/>
    <col min="9" max="9" width="15.42578125" customWidth="1"/>
    <col min="10" max="10" width="10.140625" bestFit="1" customWidth="1"/>
  </cols>
  <sheetData>
    <row r="1" spans="1:10" x14ac:dyDescent="0.25">
      <c r="A1" s="59" t="s">
        <v>75</v>
      </c>
      <c r="B1" s="61" t="s">
        <v>76</v>
      </c>
      <c r="C1" s="61" t="s">
        <v>77</v>
      </c>
      <c r="D1" s="34"/>
      <c r="E1" s="34"/>
      <c r="F1" s="34"/>
      <c r="G1" s="34"/>
      <c r="H1" s="34"/>
      <c r="I1" s="61" t="s">
        <v>83</v>
      </c>
      <c r="J1" t="s">
        <v>92</v>
      </c>
    </row>
    <row r="2" spans="1:10" ht="15.75" thickBot="1" x14ac:dyDescent="0.3">
      <c r="A2" s="60"/>
      <c r="B2" s="62"/>
      <c r="C2" s="62"/>
      <c r="D2" s="35" t="s">
        <v>78</v>
      </c>
      <c r="E2" s="36" t="s">
        <v>79</v>
      </c>
      <c r="F2" s="35" t="s">
        <v>80</v>
      </c>
      <c r="G2" s="35" t="s">
        <v>81</v>
      </c>
      <c r="H2" s="37" t="s">
        <v>82</v>
      </c>
      <c r="I2" s="62"/>
      <c r="J2" s="39">
        <f ca="1">TODAY()</f>
        <v>44890</v>
      </c>
    </row>
    <row r="3" spans="1:10" ht="15.75" thickBot="1" x14ac:dyDescent="0.3">
      <c r="A3" s="38">
        <v>1</v>
      </c>
      <c r="B3" s="40">
        <v>44564</v>
      </c>
      <c r="C3" s="41">
        <v>3</v>
      </c>
      <c r="D3" s="42" t="s">
        <v>84</v>
      </c>
      <c r="E3" s="42" t="s">
        <v>85</v>
      </c>
      <c r="F3" s="40">
        <v>44592</v>
      </c>
      <c r="G3" s="41">
        <v>334</v>
      </c>
      <c r="H3" s="41">
        <v>32</v>
      </c>
      <c r="I3" s="43">
        <v>10688</v>
      </c>
    </row>
    <row r="4" spans="1:10" ht="15.75" thickBot="1" x14ac:dyDescent="0.3">
      <c r="A4" s="38">
        <v>2</v>
      </c>
      <c r="B4" s="40">
        <v>44570</v>
      </c>
      <c r="C4" s="41">
        <v>23</v>
      </c>
      <c r="D4" s="42" t="s">
        <v>86</v>
      </c>
      <c r="E4" s="42" t="s">
        <v>87</v>
      </c>
      <c r="F4" s="40">
        <v>44601</v>
      </c>
      <c r="G4" s="41">
        <v>45</v>
      </c>
      <c r="H4" s="41">
        <v>25</v>
      </c>
      <c r="I4" s="44">
        <v>1125</v>
      </c>
    </row>
    <row r="5" spans="1:10" ht="15.75" thickBot="1" x14ac:dyDescent="0.3">
      <c r="A5" s="38">
        <v>3</v>
      </c>
      <c r="B5" s="40">
        <v>44579</v>
      </c>
      <c r="C5" s="41">
        <v>2</v>
      </c>
      <c r="D5" s="42" t="s">
        <v>86</v>
      </c>
      <c r="E5" s="42" t="s">
        <v>87</v>
      </c>
      <c r="F5" s="40">
        <v>44610</v>
      </c>
      <c r="G5" s="41">
        <v>23</v>
      </c>
      <c r="H5" s="41">
        <v>24</v>
      </c>
      <c r="I5" s="45">
        <v>552</v>
      </c>
    </row>
    <row r="6" spans="1:10" ht="15.75" thickBot="1" x14ac:dyDescent="0.3">
      <c r="A6" s="38">
        <v>4</v>
      </c>
      <c r="B6" s="40">
        <v>44579</v>
      </c>
      <c r="C6" s="41">
        <v>33</v>
      </c>
      <c r="D6" s="42" t="s">
        <v>88</v>
      </c>
      <c r="E6" s="42" t="s">
        <v>89</v>
      </c>
      <c r="F6" s="40">
        <v>44638</v>
      </c>
      <c r="G6" s="41">
        <v>43</v>
      </c>
      <c r="H6" s="41">
        <v>28</v>
      </c>
      <c r="I6" s="44">
        <v>1204</v>
      </c>
    </row>
    <row r="7" spans="1:10" ht="15.75" thickBot="1" x14ac:dyDescent="0.3">
      <c r="A7" s="38">
        <v>5</v>
      </c>
      <c r="B7" s="40">
        <v>44579</v>
      </c>
      <c r="C7" s="41">
        <v>45</v>
      </c>
      <c r="D7" s="42" t="s">
        <v>90</v>
      </c>
      <c r="E7" s="42" t="s">
        <v>87</v>
      </c>
      <c r="F7" s="40">
        <v>44610</v>
      </c>
      <c r="G7" s="41">
        <v>98</v>
      </c>
      <c r="H7" s="41">
        <v>38</v>
      </c>
      <c r="I7" s="44">
        <v>3724</v>
      </c>
    </row>
    <row r="8" spans="1:10" ht="15.75" thickBot="1" x14ac:dyDescent="0.3">
      <c r="A8" s="38">
        <v>6</v>
      </c>
      <c r="B8" s="40">
        <v>44584</v>
      </c>
      <c r="C8" s="41">
        <v>1</v>
      </c>
      <c r="D8" s="42" t="s">
        <v>90</v>
      </c>
      <c r="E8" s="42" t="s">
        <v>85</v>
      </c>
      <c r="F8" s="40">
        <v>44631</v>
      </c>
      <c r="G8" s="41">
        <v>55</v>
      </c>
      <c r="H8" s="41">
        <v>39</v>
      </c>
      <c r="I8" s="44">
        <v>2145</v>
      </c>
    </row>
    <row r="9" spans="1:10" ht="15.75" thickBot="1" x14ac:dyDescent="0.3">
      <c r="A9" s="38">
        <v>7</v>
      </c>
      <c r="B9" s="40">
        <v>44585</v>
      </c>
      <c r="C9" s="41">
        <v>2</v>
      </c>
      <c r="D9" s="42" t="s">
        <v>91</v>
      </c>
      <c r="E9" s="42" t="s">
        <v>87</v>
      </c>
      <c r="F9" s="40">
        <v>44644</v>
      </c>
      <c r="G9" s="41">
        <v>44</v>
      </c>
      <c r="H9" s="41">
        <v>30</v>
      </c>
      <c r="I9" s="44">
        <v>1320</v>
      </c>
    </row>
    <row r="10" spans="1:10" ht="15.75" thickBot="1" x14ac:dyDescent="0.3">
      <c r="A10" s="38">
        <v>8</v>
      </c>
      <c r="B10" s="40">
        <v>44586</v>
      </c>
      <c r="C10" s="41">
        <v>4</v>
      </c>
      <c r="D10" s="42" t="s">
        <v>84</v>
      </c>
      <c r="E10" s="42" t="s">
        <v>89</v>
      </c>
      <c r="F10" s="40">
        <v>44645</v>
      </c>
      <c r="G10" s="41">
        <v>22</v>
      </c>
      <c r="H10" s="41">
        <v>33</v>
      </c>
      <c r="I10" s="45">
        <v>726</v>
      </c>
    </row>
    <row r="11" spans="1:10" ht="15.75" thickBot="1" x14ac:dyDescent="0.3">
      <c r="A11" s="38">
        <v>9</v>
      </c>
      <c r="B11" s="40">
        <v>44597</v>
      </c>
      <c r="C11" s="41">
        <v>5</v>
      </c>
      <c r="D11" s="42" t="s">
        <v>88</v>
      </c>
      <c r="E11" s="42" t="s">
        <v>89</v>
      </c>
      <c r="F11" s="40">
        <v>44656</v>
      </c>
      <c r="G11" s="41">
        <v>77</v>
      </c>
      <c r="H11" s="41">
        <v>20</v>
      </c>
      <c r="I11" s="44">
        <v>1540</v>
      </c>
    </row>
    <row r="12" spans="1:10" ht="15.75" thickBot="1" x14ac:dyDescent="0.3">
      <c r="A12" s="38">
        <v>10</v>
      </c>
      <c r="B12" s="40">
        <v>44604</v>
      </c>
      <c r="C12" s="41">
        <v>34</v>
      </c>
      <c r="D12" s="42" t="s">
        <v>84</v>
      </c>
      <c r="E12" s="42" t="s">
        <v>85</v>
      </c>
      <c r="F12" s="40">
        <v>44663</v>
      </c>
      <c r="G12" s="41">
        <v>78</v>
      </c>
      <c r="H12" s="41">
        <v>25</v>
      </c>
      <c r="I12" s="44">
        <v>1950</v>
      </c>
    </row>
    <row r="13" spans="1:10" ht="15.75" thickBot="1" x14ac:dyDescent="0.3">
      <c r="A13" s="38">
        <v>11</v>
      </c>
      <c r="B13" s="40">
        <v>44607</v>
      </c>
      <c r="C13" s="41">
        <v>6</v>
      </c>
      <c r="D13" s="42" t="s">
        <v>90</v>
      </c>
      <c r="E13" s="42" t="s">
        <v>89</v>
      </c>
      <c r="F13" s="40">
        <v>44666</v>
      </c>
      <c r="G13" s="41">
        <v>88</v>
      </c>
      <c r="H13" s="41">
        <v>40</v>
      </c>
      <c r="I13" s="44">
        <v>3520</v>
      </c>
    </row>
    <row r="14" spans="1:10" ht="15.75" thickBot="1" x14ac:dyDescent="0.3">
      <c r="A14" s="38">
        <v>12</v>
      </c>
      <c r="B14" s="40">
        <v>44611</v>
      </c>
      <c r="C14" s="41">
        <v>7</v>
      </c>
      <c r="D14" s="42" t="s">
        <v>91</v>
      </c>
      <c r="E14" s="42" t="s">
        <v>85</v>
      </c>
      <c r="F14" s="40">
        <v>44670</v>
      </c>
      <c r="G14" s="41">
        <v>55</v>
      </c>
      <c r="H14" s="41">
        <v>31</v>
      </c>
      <c r="I14" s="44">
        <v>1705</v>
      </c>
    </row>
    <row r="15" spans="1:10" ht="15.75" thickBot="1" x14ac:dyDescent="0.3">
      <c r="A15" s="38">
        <v>13</v>
      </c>
      <c r="B15" s="40">
        <v>44611</v>
      </c>
      <c r="C15" s="41">
        <v>35</v>
      </c>
      <c r="D15" s="42" t="s">
        <v>88</v>
      </c>
      <c r="E15" s="42" t="s">
        <v>87</v>
      </c>
      <c r="F15" s="40">
        <v>44670</v>
      </c>
      <c r="G15" s="41">
        <v>123</v>
      </c>
      <c r="H15" s="41">
        <v>22</v>
      </c>
      <c r="I15" s="44">
        <v>2706</v>
      </c>
    </row>
    <row r="16" spans="1:10" ht="15.75" thickBot="1" x14ac:dyDescent="0.3">
      <c r="A16" s="38">
        <v>14</v>
      </c>
      <c r="B16" s="40">
        <v>44612</v>
      </c>
      <c r="C16" s="41">
        <v>11</v>
      </c>
      <c r="D16" s="42" t="s">
        <v>86</v>
      </c>
      <c r="E16" s="42" t="s">
        <v>87</v>
      </c>
      <c r="F16" s="40">
        <v>44640</v>
      </c>
      <c r="G16" s="41">
        <v>45</v>
      </c>
      <c r="H16" s="41">
        <v>30</v>
      </c>
      <c r="I16" s="44">
        <v>1350</v>
      </c>
    </row>
    <row r="17" spans="1:9" ht="15.75" thickBot="1" x14ac:dyDescent="0.3">
      <c r="A17" s="38">
        <v>15</v>
      </c>
      <c r="B17" s="40">
        <v>44614</v>
      </c>
      <c r="C17" s="41">
        <v>8</v>
      </c>
      <c r="D17" s="42" t="s">
        <v>84</v>
      </c>
      <c r="E17" s="42" t="s">
        <v>87</v>
      </c>
      <c r="F17" s="40">
        <v>44673</v>
      </c>
      <c r="G17" s="41">
        <v>44</v>
      </c>
      <c r="H17" s="41">
        <v>38</v>
      </c>
      <c r="I17" s="44">
        <v>1672</v>
      </c>
    </row>
    <row r="18" spans="1:9" ht="15.75" thickBot="1" x14ac:dyDescent="0.3">
      <c r="A18" s="38">
        <v>16</v>
      </c>
      <c r="B18" s="40">
        <v>44614</v>
      </c>
      <c r="C18" s="41">
        <v>8</v>
      </c>
      <c r="D18" s="42" t="s">
        <v>90</v>
      </c>
      <c r="E18" s="42" t="s">
        <v>87</v>
      </c>
      <c r="F18" s="40">
        <v>44673</v>
      </c>
      <c r="G18" s="41">
        <v>66</v>
      </c>
      <c r="H18" s="41">
        <v>41</v>
      </c>
      <c r="I18" s="44">
        <v>2706</v>
      </c>
    </row>
    <row r="19" spans="1:9" ht="15.75" thickBot="1" x14ac:dyDescent="0.3">
      <c r="A19" s="38">
        <v>17</v>
      </c>
      <c r="B19" s="40">
        <v>44636</v>
      </c>
      <c r="C19" s="41">
        <v>47</v>
      </c>
      <c r="D19" s="42" t="s">
        <v>88</v>
      </c>
      <c r="E19" s="42" t="s">
        <v>89</v>
      </c>
      <c r="F19" s="40">
        <v>44697</v>
      </c>
      <c r="G19" s="41">
        <v>67</v>
      </c>
      <c r="H19" s="41">
        <v>35</v>
      </c>
      <c r="I19" s="44">
        <v>2345</v>
      </c>
    </row>
    <row r="20" spans="1:9" ht="15.75" thickBot="1" x14ac:dyDescent="0.3">
      <c r="A20" s="38">
        <v>18</v>
      </c>
      <c r="B20" s="40">
        <v>44640</v>
      </c>
      <c r="C20" s="41">
        <v>21</v>
      </c>
      <c r="D20" s="42" t="s">
        <v>86</v>
      </c>
      <c r="E20" s="42" t="s">
        <v>85</v>
      </c>
      <c r="F20" s="40">
        <v>44671</v>
      </c>
      <c r="G20" s="41">
        <v>33</v>
      </c>
      <c r="H20" s="41">
        <v>29</v>
      </c>
      <c r="I20" s="45">
        <v>957</v>
      </c>
    </row>
    <row r="21" spans="1:9" ht="15.75" thickBot="1" x14ac:dyDescent="0.3">
      <c r="A21" s="38">
        <v>19</v>
      </c>
      <c r="B21" s="40">
        <v>44640</v>
      </c>
      <c r="C21" s="41">
        <v>21</v>
      </c>
      <c r="D21" s="42" t="s">
        <v>88</v>
      </c>
      <c r="E21" s="42" t="s">
        <v>85</v>
      </c>
      <c r="F21" s="40">
        <v>44701</v>
      </c>
      <c r="G21" s="41">
        <v>45</v>
      </c>
      <c r="H21" s="41">
        <v>26</v>
      </c>
      <c r="I21" s="44">
        <v>1170</v>
      </c>
    </row>
    <row r="22" spans="1:9" ht="15.75" thickBot="1" x14ac:dyDescent="0.3">
      <c r="A22" s="38">
        <v>20</v>
      </c>
      <c r="B22" s="40">
        <v>44640</v>
      </c>
      <c r="C22" s="41">
        <v>21</v>
      </c>
      <c r="D22" s="42" t="s">
        <v>90</v>
      </c>
      <c r="E22" s="42" t="s">
        <v>85</v>
      </c>
      <c r="F22" s="40">
        <v>44701</v>
      </c>
      <c r="G22" s="41">
        <v>67</v>
      </c>
      <c r="H22" s="41">
        <v>36</v>
      </c>
      <c r="I22" s="44">
        <v>2412</v>
      </c>
    </row>
    <row r="23" spans="1:9" ht="15.75" thickBot="1" x14ac:dyDescent="0.3">
      <c r="A23" s="38">
        <v>21</v>
      </c>
      <c r="B23" s="40">
        <v>44641</v>
      </c>
      <c r="C23" s="41">
        <v>22</v>
      </c>
      <c r="D23" s="42" t="s">
        <v>86</v>
      </c>
      <c r="E23" s="42" t="s">
        <v>89</v>
      </c>
      <c r="F23" s="40">
        <v>44672</v>
      </c>
      <c r="G23" s="41">
        <v>87</v>
      </c>
      <c r="H23" s="41">
        <v>26</v>
      </c>
      <c r="I23" s="44">
        <v>2262</v>
      </c>
    </row>
    <row r="24" spans="1:9" ht="15.75" thickBot="1" x14ac:dyDescent="0.3">
      <c r="A24" s="38">
        <v>22</v>
      </c>
      <c r="B24" s="40">
        <v>44840</v>
      </c>
      <c r="C24" s="41">
        <v>9</v>
      </c>
      <c r="D24" s="42" t="s">
        <v>88</v>
      </c>
      <c r="E24" s="42" t="s">
        <v>85</v>
      </c>
      <c r="F24" s="40">
        <v>44901</v>
      </c>
      <c r="G24" s="41">
        <v>77</v>
      </c>
      <c r="H24" s="41">
        <v>28</v>
      </c>
      <c r="I24" s="44">
        <v>2156</v>
      </c>
    </row>
    <row r="25" spans="1:9" ht="15.75" thickBot="1" x14ac:dyDescent="0.3">
      <c r="A25" s="38">
        <v>23</v>
      </c>
      <c r="B25" s="40">
        <v>44840</v>
      </c>
      <c r="C25" s="41">
        <v>9</v>
      </c>
      <c r="D25" s="42" t="s">
        <v>90</v>
      </c>
      <c r="E25" s="42" t="s">
        <v>85</v>
      </c>
      <c r="F25" s="40">
        <v>44901</v>
      </c>
      <c r="G25" s="41">
        <v>99</v>
      </c>
      <c r="H25" s="41">
        <v>33</v>
      </c>
      <c r="I25" s="44">
        <v>3267</v>
      </c>
    </row>
    <row r="26" spans="1:9" ht="15.75" thickBot="1" x14ac:dyDescent="0.3">
      <c r="A26" s="38">
        <v>24</v>
      </c>
      <c r="B26" s="40">
        <v>44840</v>
      </c>
      <c r="C26" s="41">
        <v>122</v>
      </c>
      <c r="D26" s="42" t="s">
        <v>91</v>
      </c>
      <c r="E26" s="42" t="s">
        <v>89</v>
      </c>
      <c r="F26" s="40">
        <v>44901</v>
      </c>
      <c r="G26" s="41">
        <v>33</v>
      </c>
      <c r="H26" s="41">
        <v>33</v>
      </c>
      <c r="I26" s="44">
        <v>1089</v>
      </c>
    </row>
    <row r="27" spans="1:9" ht="15.75" thickBot="1" x14ac:dyDescent="0.3">
      <c r="A27" s="38">
        <v>25</v>
      </c>
      <c r="B27" s="40">
        <v>44840</v>
      </c>
      <c r="C27" s="41">
        <v>122</v>
      </c>
      <c r="D27" s="42" t="s">
        <v>84</v>
      </c>
      <c r="E27" s="42" t="s">
        <v>89</v>
      </c>
      <c r="F27" s="40">
        <v>44901</v>
      </c>
      <c r="G27" s="41">
        <v>88</v>
      </c>
      <c r="H27" s="41">
        <v>28</v>
      </c>
      <c r="I27" s="44">
        <v>2464</v>
      </c>
    </row>
    <row r="28" spans="1:9" ht="15.75" thickBot="1" x14ac:dyDescent="0.3">
      <c r="A28" s="38">
        <v>26</v>
      </c>
      <c r="B28" s="40">
        <v>44840</v>
      </c>
      <c r="C28" s="41">
        <v>20</v>
      </c>
      <c r="D28" s="42" t="s">
        <v>88</v>
      </c>
      <c r="E28" s="42" t="s">
        <v>85</v>
      </c>
      <c r="F28" s="40">
        <v>44901</v>
      </c>
      <c r="G28" s="41">
        <v>99</v>
      </c>
      <c r="H28" s="41">
        <v>26</v>
      </c>
      <c r="I28" s="44">
        <v>2574</v>
      </c>
    </row>
  </sheetData>
  <mergeCells count="4">
    <mergeCell ref="A1:A2"/>
    <mergeCell ref="B1:B2"/>
    <mergeCell ref="C1:C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заказы</vt:lpstr>
      <vt:lpstr>товары</vt:lpstr>
      <vt:lpstr>Продажи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Густова</dc:creator>
  <cp:lastModifiedBy>Густова</cp:lastModifiedBy>
  <dcterms:created xsi:type="dcterms:W3CDTF">2022-11-21T16:10:16Z</dcterms:created>
  <dcterms:modified xsi:type="dcterms:W3CDTF">2022-11-25T14:13:28Z</dcterms:modified>
</cp:coreProperties>
</file>