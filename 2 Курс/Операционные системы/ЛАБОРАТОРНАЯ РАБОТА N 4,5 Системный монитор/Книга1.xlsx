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kt\Downloads\Telegram Desktop\"/>
    </mc:Choice>
  </mc:AlternateContent>
  <xr:revisionPtr revIDLastSave="0" documentId="13_ncr:1_{8C3BD8CB-F147-44E0-B696-0A318EC10940}" xr6:coauthVersionLast="47" xr6:coauthVersionMax="47" xr10:uidLastSave="{00000000-0000-0000-0000-000000000000}"/>
  <bookViews>
    <workbookView xWindow="-110" yWindow="-110" windowWidth="25820" windowHeight="15500" xr2:uid="{FFB6D01F-1BA8-460A-AA55-439B011DF2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E3" i="1"/>
  <c r="E4" i="1"/>
  <c r="E5" i="1"/>
  <c r="E2" i="1"/>
  <c r="F3" i="1"/>
  <c r="F4" i="1"/>
  <c r="F5" i="1"/>
  <c r="F2" i="1"/>
  <c r="C2" i="1"/>
  <c r="D2" i="1" s="1"/>
  <c r="C4" i="1"/>
  <c r="C5" i="1"/>
  <c r="D5" i="1" s="1"/>
  <c r="C3" i="1"/>
  <c r="D3" i="1" s="1"/>
  <c r="D4" i="1"/>
</calcChain>
</file>

<file path=xl/sharedStrings.xml><?xml version="1.0" encoding="utf-8"?>
<sst xmlns="http://schemas.openxmlformats.org/spreadsheetml/2006/main" count="11" uniqueCount="11">
  <si>
    <t>ОС</t>
  </si>
  <si>
    <t>ОЗУ (Гб)</t>
  </si>
  <si>
    <t>Виртуал. память (Мб)</t>
  </si>
  <si>
    <t>Занято (Мб)</t>
  </si>
  <si>
    <t>Подкачка нач. (Мб)</t>
  </si>
  <si>
    <t>Подкачка макс. (Мб)</t>
  </si>
  <si>
    <t>Кол-во страниц</t>
  </si>
  <si>
    <t>Windows XP</t>
  </si>
  <si>
    <t xml:space="preserve">Windows Server 2000 </t>
  </si>
  <si>
    <t>Windows Server 2003</t>
  </si>
  <si>
    <t>Windows Server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</si>
</sst>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78E5-ECC9-4B56-BE6D-430A5F305BF0}">
  <dimension ref="A1:G5"/>
  <sheetViews>
    <sheetView tabSelected="1" zoomScale="128" workbookViewId="0">
      <selection activeCell="G3" sqref="G3"/>
    </sheetView>
  </sheetViews>
  <sheetFormatPr defaultRowHeight="14.5" x14ac:dyDescent="0.35"/>
  <cols>
    <col min="2" max="3" width="8.81640625" bestFit="1" customWidth="1"/>
    <col min="4" max="4" width="12.453125" customWidth="1"/>
    <col min="5" max="5" width="9.6328125" bestFit="1" customWidth="1"/>
    <col min="6" max="6" width="8.81640625" bestFit="1" customWidth="1"/>
    <col min="7" max="7" width="13.54296875" bestFit="1" customWidth="1"/>
  </cols>
  <sheetData>
    <row r="1" spans="1:7" ht="4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5" thickBot="1" x14ac:dyDescent="0.4">
      <c r="A2" s="3" t="s">
        <v>7</v>
      </c>
      <c r="B2" s="4">
        <v>4</v>
      </c>
      <c r="C2" s="4">
        <f>B2*1024</f>
        <v>4096</v>
      </c>
      <c r="D2" s="5">
        <f>C2*0.72</f>
        <v>2949.12</v>
      </c>
      <c r="E2" s="5">
        <f>(B2/3)*1024</f>
        <v>1365.3333333333333</v>
      </c>
      <c r="F2" s="4">
        <f>B2*3*1024</f>
        <v>12288</v>
      </c>
      <c r="G2" s="4">
        <f>IF((D2-(B2*1024))/0.003906&gt;=0,   (D2-(B2*1024))/0.003906,     0)</f>
        <v>0</v>
      </c>
    </row>
    <row r="3" spans="1:7" ht="47" thickBot="1" x14ac:dyDescent="0.4">
      <c r="A3" s="3" t="s">
        <v>8</v>
      </c>
      <c r="B3" s="4">
        <v>8</v>
      </c>
      <c r="C3" s="4">
        <f>B3*2*1024</f>
        <v>16384</v>
      </c>
      <c r="D3" s="5">
        <f t="shared" ref="D3:D5" si="0">C3*0.72</f>
        <v>11796.48</v>
      </c>
      <c r="E3" s="5">
        <f t="shared" ref="E3:E5" si="1">(B3/3)*1024</f>
        <v>2730.6666666666665</v>
      </c>
      <c r="F3" s="4">
        <f t="shared" ref="F3:F5" si="2">B3*3*1024</f>
        <v>24576</v>
      </c>
      <c r="G3" s="4">
        <f t="shared" ref="G3:G5" si="3">IF((D3-(B3*1024))/0.003906&gt;=0,   (D3-(B3*1024))/0.003906,     0)</f>
        <v>922805.93958013295</v>
      </c>
    </row>
    <row r="4" spans="1:7" ht="47" thickBot="1" x14ac:dyDescent="0.4">
      <c r="A4" s="3" t="s">
        <v>9</v>
      </c>
      <c r="B4" s="4">
        <v>32</v>
      </c>
      <c r="C4" s="4">
        <f t="shared" ref="C4:C5" si="4">B4*2*1024</f>
        <v>65536</v>
      </c>
      <c r="D4" s="5">
        <f t="shared" si="0"/>
        <v>47185.919999999998</v>
      </c>
      <c r="E4" s="5">
        <f t="shared" si="1"/>
        <v>10922.666666666666</v>
      </c>
      <c r="F4" s="4">
        <f t="shared" si="2"/>
        <v>98304</v>
      </c>
      <c r="G4" s="4">
        <f t="shared" si="3"/>
        <v>3691223.7583205318</v>
      </c>
    </row>
    <row r="5" spans="1:7" ht="47" thickBot="1" x14ac:dyDescent="0.4">
      <c r="A5" s="3" t="s">
        <v>10</v>
      </c>
      <c r="B5" s="4">
        <v>64</v>
      </c>
      <c r="C5" s="4">
        <f t="shared" si="4"/>
        <v>131072</v>
      </c>
      <c r="D5" s="5">
        <f t="shared" si="0"/>
        <v>94371.839999999997</v>
      </c>
      <c r="E5" s="5">
        <f t="shared" si="1"/>
        <v>21845.333333333332</v>
      </c>
      <c r="F5" s="4">
        <f t="shared" si="2"/>
        <v>196608</v>
      </c>
      <c r="G5" s="4">
        <f t="shared" si="3"/>
        <v>7382447.5166410636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Tigranyan</dc:creator>
  <cp:lastModifiedBy>Eduard Tigranyan</cp:lastModifiedBy>
  <dcterms:created xsi:type="dcterms:W3CDTF">2024-11-07T17:20:53Z</dcterms:created>
  <dcterms:modified xsi:type="dcterms:W3CDTF">2024-11-09T11:21:03Z</dcterms:modified>
</cp:coreProperties>
</file>